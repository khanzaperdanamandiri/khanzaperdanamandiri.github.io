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05" yWindow="-105" windowWidth="23250" windowHeight="13170"/>
  </bookViews>
  <sheets>
    <sheet name="Sheet1" sheetId="4" r:id="rId1"/>
  </sheets>
  <definedNames>
    <definedName name="_xlnm._FilterDatabase">Sheet1!$N$5:$N$67</definedName>
    <definedName name="_xlnm.Print_Area" localSheetId="0">Sheet1!$A1:$J67</definedName>
  </definedNames>
  <calcPr calcId="152511"/>
</workbook>
</file>

<file path=xl/calcChain.xml><?xml version="1.0" encoding="utf-8"?>
<calcChain xmlns="http://schemas.openxmlformats.org/spreadsheetml/2006/main">
  <c r="I55" i="4" l="1"/>
  <c r="I54" i="4"/>
  <c r="N53" i="4"/>
  <c r="M53" i="4"/>
  <c r="I53" i="4"/>
  <c r="P52" i="4"/>
  <c r="O52" i="4"/>
  <c r="N52" i="4"/>
  <c r="M52" i="4"/>
  <c r="P50" i="4"/>
  <c r="O50" i="4"/>
  <c r="N50" i="4"/>
  <c r="M50" i="4"/>
  <c r="P49" i="4"/>
  <c r="O49" i="4"/>
  <c r="N49" i="4"/>
  <c r="M49" i="4"/>
  <c r="P48" i="4"/>
  <c r="O48" i="4"/>
  <c r="N48" i="4"/>
  <c r="M48" i="4"/>
  <c r="L48" i="4"/>
  <c r="P47" i="4"/>
  <c r="O47" i="4"/>
  <c r="N47" i="4"/>
  <c r="M47" i="4"/>
  <c r="P46" i="4"/>
  <c r="O46" i="4"/>
  <c r="N46" i="4"/>
  <c r="M46" i="4"/>
  <c r="P45" i="4"/>
  <c r="O45" i="4"/>
  <c r="N45" i="4"/>
  <c r="M45" i="4"/>
  <c r="P44" i="4"/>
  <c r="O44" i="4"/>
  <c r="N44" i="4"/>
  <c r="M44" i="4"/>
  <c r="P43" i="4"/>
  <c r="O43" i="4"/>
  <c r="N43" i="4"/>
  <c r="M43" i="4"/>
  <c r="P42" i="4"/>
  <c r="O42" i="4"/>
  <c r="N42" i="4"/>
  <c r="M42" i="4"/>
  <c r="P41" i="4"/>
  <c r="O41" i="4"/>
  <c r="N41" i="4"/>
  <c r="M41" i="4"/>
  <c r="P40" i="4"/>
  <c r="O40" i="4"/>
  <c r="N40" i="4"/>
  <c r="M40" i="4"/>
  <c r="P39" i="4"/>
  <c r="O39" i="4"/>
  <c r="N39" i="4"/>
  <c r="M39" i="4"/>
  <c r="P38" i="4"/>
  <c r="O38" i="4"/>
  <c r="N38" i="4"/>
  <c r="M38" i="4"/>
  <c r="P37" i="4"/>
  <c r="O37" i="4"/>
  <c r="N37" i="4"/>
  <c r="M37" i="4"/>
  <c r="P36" i="4"/>
  <c r="O36" i="4"/>
  <c r="N36" i="4"/>
  <c r="M36" i="4"/>
  <c r="P35" i="4"/>
  <c r="O35" i="4"/>
  <c r="N35" i="4"/>
  <c r="M35" i="4"/>
  <c r="P34" i="4"/>
  <c r="O34" i="4"/>
  <c r="N34" i="4"/>
  <c r="M34" i="4"/>
  <c r="P33" i="4"/>
  <c r="O33" i="4"/>
  <c r="N33" i="4"/>
  <c r="M33" i="4"/>
  <c r="P32" i="4"/>
  <c r="O32" i="4"/>
  <c r="N32" i="4"/>
  <c r="M32" i="4"/>
  <c r="P31" i="4"/>
  <c r="O31" i="4"/>
  <c r="N31" i="4"/>
  <c r="M31" i="4"/>
  <c r="P30" i="4"/>
  <c r="O30" i="4"/>
  <c r="N30" i="4"/>
  <c r="M30" i="4"/>
  <c r="P29" i="4"/>
  <c r="O29" i="4"/>
  <c r="N29" i="4"/>
  <c r="M29" i="4"/>
  <c r="P28" i="4"/>
  <c r="O28" i="4"/>
  <c r="N28" i="4"/>
  <c r="M28" i="4"/>
  <c r="P27" i="4"/>
  <c r="O27" i="4"/>
  <c r="N27" i="4"/>
  <c r="M27" i="4"/>
  <c r="P26" i="4"/>
  <c r="O26" i="4"/>
  <c r="N26" i="4"/>
  <c r="M26" i="4"/>
  <c r="P25" i="4"/>
  <c r="O25" i="4"/>
  <c r="N25" i="4"/>
  <c r="M25" i="4"/>
  <c r="P24" i="4"/>
  <c r="O24" i="4"/>
  <c r="N24" i="4"/>
  <c r="M24" i="4"/>
  <c r="P23" i="4"/>
  <c r="O23" i="4"/>
  <c r="N23" i="4"/>
  <c r="M23" i="4"/>
  <c r="P22" i="4"/>
  <c r="O22" i="4"/>
  <c r="N22" i="4"/>
  <c r="M22" i="4"/>
  <c r="P21" i="4"/>
  <c r="O21" i="4"/>
  <c r="N21" i="4"/>
  <c r="M21" i="4"/>
  <c r="P20" i="4"/>
  <c r="O20" i="4"/>
  <c r="N20" i="4"/>
  <c r="M20" i="4"/>
</calcChain>
</file>

<file path=xl/sharedStrings.xml><?xml version="1.0" encoding="utf-8"?>
<sst xmlns="http://schemas.openxmlformats.org/spreadsheetml/2006/main" count="28" uniqueCount="24">
  <si>
    <t>PENAWARAN HARGA</t>
  </si>
  <si>
    <t>Tanggal</t>
  </si>
  <si>
    <t>:</t>
  </si>
  <si>
    <t/>
  </si>
  <si>
    <t>To.</t>
  </si>
  <si>
    <t>Perusahaan</t>
  </si>
  <si>
    <t>Alamat</t>
  </si>
  <si>
    <t>Attn</t>
  </si>
  <si>
    <t>Dengan Hormat,
Bersama ini kami sampaikan penawaran harga rincian sebagai berikut :</t>
  </si>
  <si>
    <t>No</t>
  </si>
  <si>
    <t>Description</t>
  </si>
  <si>
    <t>Merk</t>
  </si>
  <si>
    <t>Sat</t>
  </si>
  <si>
    <t>Qty</t>
  </si>
  <si>
    <t>Price</t>
  </si>
  <si>
    <t>Total Price</t>
  </si>
  <si>
    <t>Total</t>
  </si>
  <si>
    <t>PPN 11%</t>
  </si>
  <si>
    <t>Grand Total</t>
  </si>
  <si>
    <t>Ket</t>
  </si>
  <si>
    <t>CV. Khanza Perdana Mandiri</t>
  </si>
  <si>
    <t>Ajat Sudrajat</t>
  </si>
  <si>
    <t>Direktur</t>
  </si>
  <si>
    <t>No. Penawaran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</si>
</sst>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5" fontId="1" fillId="0" borderId="0" xfId="0" applyNumberFormat="1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0" xfId="0" applyFon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4" fontId="1" fillId="4" borderId="0" xfId="0" applyNumberFormat="1" applyFont="1" applyFill="1"/>
    <xf numFmtId="0" fontId="1" fillId="5" borderId="4" xfId="0" applyFont="1" applyFill="1" applyBorder="1" applyAlignment="1">
      <alignment horizontal="center"/>
    </xf>
    <xf numFmtId="0" fontId="4" fillId="5" borderId="6" xfId="0" applyFont="1" applyFill="1" applyBorder="1"/>
    <xf numFmtId="0" fontId="1" fillId="5" borderId="7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164" fontId="1" fillId="5" borderId="5" xfId="0" applyNumberFormat="1" applyFont="1" applyFill="1" applyBorder="1" applyAlignment="1">
      <alignment vertical="center"/>
    </xf>
    <xf numFmtId="165" fontId="1" fillId="0" borderId="0" xfId="0" applyNumberFormat="1" applyFont="1"/>
    <xf numFmtId="0" fontId="1" fillId="6" borderId="8" xfId="0" applyFont="1" applyFill="1" applyBorder="1" applyAlignment="1">
      <alignment horizontal="center"/>
    </xf>
    <xf numFmtId="0" fontId="1" fillId="6" borderId="6" xfId="0" applyFont="1" applyFill="1" applyBorder="1"/>
    <xf numFmtId="0" fontId="1" fillId="6" borderId="7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164" fontId="1" fillId="6" borderId="9" xfId="0" applyNumberFormat="1" applyFont="1" applyFill="1" applyBorder="1" applyAlignment="1">
      <alignment vertical="center"/>
    </xf>
    <xf numFmtId="0" fontId="1" fillId="5" borderId="6" xfId="0" applyFont="1" applyFill="1" applyBorder="1"/>
    <xf numFmtId="0" fontId="4" fillId="6" borderId="6" xfId="0" applyFont="1" applyFill="1" applyBorder="1"/>
    <xf numFmtId="164" fontId="1" fillId="5" borderId="5" xfId="0" applyNumberFormat="1" applyFont="1" applyFill="1" applyBorder="1"/>
    <xf numFmtId="0" fontId="4" fillId="0" borderId="7" xfId="0" applyFont="1" applyBorder="1"/>
    <xf numFmtId="165" fontId="4" fillId="0" borderId="4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4" fontId="4" fillId="5" borderId="5" xfId="0" applyNumberFormat="1" applyFont="1" applyFill="1" applyBorder="1" applyAlignment="1">
      <alignment horizontal="right"/>
    </xf>
    <xf numFmtId="9" fontId="4" fillId="0" borderId="0" xfId="0" applyNumberFormat="1" applyFont="1" applyAlignment="1">
      <alignment horizontal="right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1" fillId="6" borderId="9" xfId="0" applyNumberFormat="1" applyFont="1" applyFill="1" applyBorder="1" applyAlignment="1">
      <alignment horizontal="center"/>
    </xf>
    <xf numFmtId="164" fontId="1" fillId="6" borderId="10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6" borderId="9" xfId="0" applyNumberFormat="1" applyFont="1" applyFill="1" applyBorder="1" applyAlignment="1">
      <alignment horizontal="center"/>
    </xf>
    <xf numFmtId="164" fontId="4" fillId="6" borderId="1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296833</xdr:colOff>
      <xdr:row>58</xdr:row>
      <xdr:rowOff>120773</xdr:rowOff>
    </xdr:from>
    <xdr:to>
      <xdr:col>21</xdr:col>
      <xdr:colOff>390713</xdr:colOff>
      <xdr:row>64</xdr:row>
      <xdr:rowOff>165763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0</xdr:row>
      <xdr:rowOff>33619</xdr:rowOff>
    </xdr:from>
    <xdr:to>
      <xdr:col>5</xdr:col>
      <xdr:colOff>267344</xdr:colOff>
      <xdr:row>3</xdr:row>
      <xdr:rowOff>67237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33619"/>
          <a:ext cx="3371373" cy="605118"/>
        </a:xfrm>
        <a:prstGeom prst="rect">
          <a:avLst/>
        </a:prstGeom>
      </xdr:spPr>
    </xdr:pic>
    <xdr:clientData/>
  </xdr:twoCellAnchor>
  <xdr:twoCellAnchor editAs="oneCell">
    <xdr:from>
      <xdr:col>8</xdr:col>
      <xdr:colOff>8151</xdr:colOff>
      <xdr:row>0</xdr:row>
      <xdr:rowOff>22412</xdr:rowOff>
    </xdr:from>
    <xdr:to>
      <xdr:col>9</xdr:col>
      <xdr:colOff>1438722</xdr:colOff>
      <xdr:row>3</xdr:row>
      <xdr:rowOff>56030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9739" y="22412"/>
          <a:ext cx="1587454" cy="605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67"/>
  <sheetViews>
    <sheetView tabSelected="1" view="pageBreakPreview" zoomScale="85" zoomScaleNormal="100" workbookViewId="0">
      <selection activeCell="T9" sqref="T9"/>
    </sheetView>
  </sheetViews>
  <sheetFormatPr defaultRowHeight="15" x14ac:dyDescent="0.25"/>
  <cols>
    <col min="1" max="1" width="5.140625" customWidth="1"/>
    <col min="2" max="2" width="9.28515625" customWidth="1"/>
    <col min="3" max="3" width="2.85546875" customWidth="1"/>
    <col min="4" max="4" width="20.28515625" customWidth="1"/>
    <col min="5" max="5" width="9.28515625" customWidth="1"/>
    <col min="6" max="6" width="8.42578125" customWidth="1"/>
    <col min="8" max="8" width="15.28515625" customWidth="1"/>
    <col min="9" max="9" width="2.42578125" customWidth="1"/>
    <col min="10" max="10" width="21.85546875" customWidth="1"/>
    <col min="11" max="12" width="0" hidden="1" customWidth="1"/>
    <col min="13" max="13" width="15.7109375" style="1" hidden="1" customWidth="1"/>
    <col min="14" max="14" width="14.5703125" hidden="1" customWidth="1"/>
    <col min="15" max="15" width="14.85546875" hidden="1" customWidth="1"/>
    <col min="16" max="16" width="10.28515625" hidden="1" customWidth="1"/>
    <col min="19" max="19" width="12.7109375" customWidth="1"/>
    <col min="21" max="21" width="10" customWidth="1"/>
    <col min="22" max="22" width="12.85546875" customWidth="1"/>
  </cols>
  <sheetData>
    <row r="5" spans="1:13" s="2" customFormat="1" ht="23.25" customHeight="1" x14ac:dyDescent="0.25">
      <c r="B5" s="3"/>
      <c r="C5" s="3"/>
      <c r="D5" s="3"/>
      <c r="E5" s="3"/>
      <c r="F5" s="3"/>
      <c r="G5" s="38" t="s">
        <v>0</v>
      </c>
      <c r="H5" s="38"/>
      <c r="I5" s="38"/>
      <c r="J5" s="38"/>
      <c r="M5" s="4"/>
    </row>
    <row r="6" spans="1:13" s="2" customFormat="1" ht="14.25" customHeight="1" x14ac:dyDescent="0.25">
      <c r="M6" s="4"/>
    </row>
    <row r="7" spans="1:13" s="2" customFormat="1" ht="14.25" customHeight="1" x14ac:dyDescent="0.25">
      <c r="A7" s="2" t="s">
        <v>1</v>
      </c>
      <c r="C7" s="5" t="s">
        <v>2</v>
      </c>
      <c r="D7" s="6" t="s">
        <v>3</v>
      </c>
      <c r="E7" s="6"/>
      <c r="F7" s="6"/>
      <c r="H7" s="2" t="s">
        <v>23</v>
      </c>
      <c r="I7" s="2" t="s">
        <v>2</v>
      </c>
      <c r="M7" s="4"/>
    </row>
    <row r="8" spans="1:13" s="2" customFormat="1" ht="14.25" customHeight="1" x14ac:dyDescent="0.25">
      <c r="M8" s="4"/>
    </row>
    <row r="9" spans="1:13" s="2" customFormat="1" ht="14.25" customHeight="1" x14ac:dyDescent="0.25">
      <c r="A9" s="2" t="s">
        <v>4</v>
      </c>
      <c r="M9" s="4"/>
    </row>
    <row r="10" spans="1:13" s="2" customFormat="1" x14ac:dyDescent="0.25">
      <c r="A10" s="2" t="s">
        <v>5</v>
      </c>
      <c r="C10" s="5" t="s">
        <v>2</v>
      </c>
      <c r="D10" s="7"/>
      <c r="E10" s="7"/>
      <c r="F10" s="7"/>
      <c r="M10" s="4"/>
    </row>
    <row r="11" spans="1:13" s="2" customFormat="1" ht="14.25" customHeight="1" x14ac:dyDescent="0.25">
      <c r="A11" s="2" t="s">
        <v>6</v>
      </c>
      <c r="C11" s="5" t="s">
        <v>2</v>
      </c>
      <c r="M11" s="4"/>
    </row>
    <row r="12" spans="1:13" s="2" customFormat="1" ht="14.25" customHeight="1" x14ac:dyDescent="0.25">
      <c r="C12" s="5"/>
      <c r="M12" s="4"/>
    </row>
    <row r="13" spans="1:13" s="2" customFormat="1" ht="14.25" customHeight="1" x14ac:dyDescent="0.25">
      <c r="A13" s="2" t="s">
        <v>7</v>
      </c>
      <c r="C13" s="5" t="s">
        <v>2</v>
      </c>
      <c r="M13" s="4"/>
    </row>
    <row r="14" spans="1:13" s="2" customFormat="1" ht="14.25" customHeight="1" x14ac:dyDescent="0.25">
      <c r="C14" s="5"/>
      <c r="M14" s="4"/>
    </row>
    <row r="15" spans="1:13" s="2" customFormat="1" ht="14.25" customHeight="1" x14ac:dyDescent="0.2">
      <c r="A15" s="39" t="s">
        <v>8</v>
      </c>
      <c r="B15" s="40"/>
      <c r="C15" s="40"/>
      <c r="D15" s="40"/>
      <c r="E15" s="40"/>
      <c r="F15" s="40"/>
      <c r="G15" s="40"/>
      <c r="H15" s="40"/>
      <c r="I15" s="40"/>
      <c r="J15" s="40"/>
      <c r="M15" s="4"/>
    </row>
    <row r="16" spans="1:13" s="2" customFormat="1" ht="14.25" customHeight="1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M16" s="4"/>
    </row>
    <row r="17" spans="1:22" s="2" customFormat="1" ht="8.4499999999999993" customHeight="1" x14ac:dyDescent="0.25">
      <c r="M17" s="4"/>
    </row>
    <row r="18" spans="1:22" s="2" customFormat="1" ht="28.5" customHeight="1" x14ac:dyDescent="0.25">
      <c r="A18" s="8" t="s">
        <v>9</v>
      </c>
      <c r="B18" s="41" t="s">
        <v>10</v>
      </c>
      <c r="C18" s="41"/>
      <c r="D18" s="41"/>
      <c r="E18" s="9" t="s">
        <v>11</v>
      </c>
      <c r="F18" s="9" t="s">
        <v>12</v>
      </c>
      <c r="G18" s="9" t="s">
        <v>13</v>
      </c>
      <c r="H18" s="9" t="s">
        <v>14</v>
      </c>
      <c r="I18" s="41" t="s">
        <v>15</v>
      </c>
      <c r="J18" s="42"/>
      <c r="M18" s="4"/>
    </row>
    <row r="19" spans="1:22" s="10" customFormat="1" ht="5.2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3"/>
      <c r="M19" s="14"/>
    </row>
    <row r="20" spans="1:22" s="2" customFormat="1" x14ac:dyDescent="0.25">
      <c r="A20" s="15"/>
      <c r="B20" s="16"/>
      <c r="C20" s="17"/>
      <c r="D20" s="18"/>
      <c r="E20" s="18"/>
      <c r="F20" s="15"/>
      <c r="G20" s="19"/>
      <c r="H20" s="20"/>
      <c r="I20" s="43"/>
      <c r="J20" s="44"/>
      <c r="L20" s="2">
        <v>485000</v>
      </c>
      <c r="M20" s="4">
        <f>L20*G20</f>
        <v>0</v>
      </c>
      <c r="N20" s="21">
        <f>I20-M20</f>
        <v>0</v>
      </c>
      <c r="O20" s="4" t="e">
        <f>M20-#REF!</f>
        <v>#REF!</v>
      </c>
      <c r="P20" s="4">
        <f t="shared" ref="P20:P50" si="0">H20-L20</f>
        <v>-485000</v>
      </c>
    </row>
    <row r="21" spans="1:22" s="2" customFormat="1" ht="14.25" customHeight="1" x14ac:dyDescent="0.25">
      <c r="A21" s="22"/>
      <c r="B21" s="23"/>
      <c r="C21" s="24"/>
      <c r="D21" s="25"/>
      <c r="E21" s="26"/>
      <c r="F21" s="22"/>
      <c r="G21" s="27"/>
      <c r="H21" s="28"/>
      <c r="I21" s="45"/>
      <c r="J21" s="46"/>
      <c r="L21" s="2">
        <v>330000</v>
      </c>
      <c r="M21" s="4">
        <f t="shared" ref="M21:M50" si="1">L21*G21</f>
        <v>0</v>
      </c>
      <c r="N21" s="21">
        <f t="shared" ref="N21:N50" si="2">I21-M21</f>
        <v>0</v>
      </c>
      <c r="O21" s="4" t="e">
        <f>M21-#REF!</f>
        <v>#REF!</v>
      </c>
      <c r="P21" s="4">
        <f t="shared" si="0"/>
        <v>-330000</v>
      </c>
      <c r="S21" s="4"/>
      <c r="T21" s="4"/>
      <c r="U21" s="4"/>
      <c r="V21" s="4"/>
    </row>
    <row r="22" spans="1:22" s="2" customFormat="1" ht="14.25" customHeight="1" x14ac:dyDescent="0.25">
      <c r="A22" s="15"/>
      <c r="B22" s="29"/>
      <c r="C22" s="17"/>
      <c r="D22" s="18"/>
      <c r="E22" s="18"/>
      <c r="F22" s="15"/>
      <c r="G22" s="19"/>
      <c r="H22" s="20"/>
      <c r="I22" s="43"/>
      <c r="J22" s="44"/>
      <c r="L22" s="2">
        <v>700000</v>
      </c>
      <c r="M22" s="4">
        <f t="shared" si="1"/>
        <v>0</v>
      </c>
      <c r="N22" s="21">
        <f t="shared" si="2"/>
        <v>0</v>
      </c>
      <c r="O22" s="4" t="e">
        <f>M22-#REF!</f>
        <v>#REF!</v>
      </c>
      <c r="P22" s="4">
        <f t="shared" si="0"/>
        <v>-700000</v>
      </c>
      <c r="S22" s="4"/>
      <c r="T22" s="4"/>
      <c r="U22" s="4"/>
      <c r="V22" s="4"/>
    </row>
    <row r="23" spans="1:22" s="2" customFormat="1" ht="14.25" customHeight="1" x14ac:dyDescent="0.25">
      <c r="A23" s="22"/>
      <c r="B23" s="23"/>
      <c r="C23" s="24"/>
      <c r="D23" s="25"/>
      <c r="E23" s="26"/>
      <c r="F23" s="22"/>
      <c r="G23" s="27"/>
      <c r="H23" s="28"/>
      <c r="I23" s="45"/>
      <c r="J23" s="46"/>
      <c r="L23" s="2">
        <v>315000</v>
      </c>
      <c r="M23" s="4">
        <f t="shared" si="1"/>
        <v>0</v>
      </c>
      <c r="N23" s="21">
        <f t="shared" si="2"/>
        <v>0</v>
      </c>
      <c r="O23" s="4" t="e">
        <f>M23-#REF!</f>
        <v>#REF!</v>
      </c>
      <c r="P23" s="4">
        <f t="shared" si="0"/>
        <v>-315000</v>
      </c>
      <c r="S23" s="4"/>
      <c r="T23" s="4"/>
      <c r="U23" s="4"/>
      <c r="V23" s="4"/>
    </row>
    <row r="24" spans="1:22" s="2" customFormat="1" ht="14.25" customHeight="1" x14ac:dyDescent="0.25">
      <c r="A24" s="15"/>
      <c r="B24" s="29"/>
      <c r="C24" s="17"/>
      <c r="D24" s="18"/>
      <c r="E24" s="18"/>
      <c r="F24" s="15"/>
      <c r="G24" s="19"/>
      <c r="H24" s="20"/>
      <c r="I24" s="43"/>
      <c r="J24" s="44"/>
      <c r="L24" s="2">
        <v>28000</v>
      </c>
      <c r="M24" s="4">
        <f t="shared" si="1"/>
        <v>0</v>
      </c>
      <c r="N24" s="21">
        <f t="shared" si="2"/>
        <v>0</v>
      </c>
      <c r="O24" s="4" t="e">
        <f>M24-#REF!</f>
        <v>#REF!</v>
      </c>
      <c r="P24" s="4">
        <f t="shared" si="0"/>
        <v>-28000</v>
      </c>
      <c r="S24" s="4"/>
    </row>
    <row r="25" spans="1:22" s="2" customFormat="1" x14ac:dyDescent="0.25">
      <c r="A25" s="22"/>
      <c r="B25" s="30"/>
      <c r="C25" s="24"/>
      <c r="D25" s="25"/>
      <c r="E25" s="26"/>
      <c r="F25" s="22"/>
      <c r="G25" s="27"/>
      <c r="H25" s="28"/>
      <c r="I25" s="45"/>
      <c r="J25" s="46"/>
      <c r="L25" s="2">
        <v>23000</v>
      </c>
      <c r="M25" s="4">
        <f t="shared" si="1"/>
        <v>0</v>
      </c>
      <c r="N25" s="21">
        <f t="shared" si="2"/>
        <v>0</v>
      </c>
      <c r="O25" s="4" t="e">
        <f>M25-#REF!</f>
        <v>#REF!</v>
      </c>
      <c r="P25" s="4">
        <f t="shared" si="0"/>
        <v>-23000</v>
      </c>
      <c r="S25" s="4"/>
    </row>
    <row r="26" spans="1:22" s="2" customFormat="1" ht="14.25" customHeight="1" x14ac:dyDescent="0.25">
      <c r="A26" s="15"/>
      <c r="B26" s="29"/>
      <c r="C26" s="17"/>
      <c r="D26" s="18"/>
      <c r="E26" s="18"/>
      <c r="F26" s="15"/>
      <c r="G26" s="19"/>
      <c r="H26" s="31"/>
      <c r="I26" s="43"/>
      <c r="J26" s="44"/>
      <c r="L26" s="2">
        <v>43200</v>
      </c>
      <c r="M26" s="4">
        <f t="shared" si="1"/>
        <v>0</v>
      </c>
      <c r="N26" s="21">
        <f t="shared" si="2"/>
        <v>0</v>
      </c>
      <c r="O26" s="4" t="e">
        <f>M26-#REF!</f>
        <v>#REF!</v>
      </c>
      <c r="P26" s="4">
        <f t="shared" si="0"/>
        <v>-43200</v>
      </c>
      <c r="S26" s="4"/>
      <c r="T26" s="4"/>
      <c r="U26" s="4"/>
      <c r="V26" s="4"/>
    </row>
    <row r="27" spans="1:22" s="2" customFormat="1" ht="14.25" customHeight="1" x14ac:dyDescent="0.25">
      <c r="A27" s="22"/>
      <c r="B27" s="23"/>
      <c r="C27" s="24"/>
      <c r="D27" s="25"/>
      <c r="E27" s="26"/>
      <c r="F27" s="22"/>
      <c r="G27" s="27"/>
      <c r="H27" s="28"/>
      <c r="I27" s="45"/>
      <c r="J27" s="46"/>
      <c r="L27" s="2">
        <v>34000</v>
      </c>
      <c r="M27" s="4">
        <f t="shared" si="1"/>
        <v>0</v>
      </c>
      <c r="N27" s="21">
        <f t="shared" si="2"/>
        <v>0</v>
      </c>
      <c r="O27" s="4" t="e">
        <f>M27-#REF!</f>
        <v>#REF!</v>
      </c>
      <c r="P27" s="4">
        <f t="shared" si="0"/>
        <v>-34000</v>
      </c>
      <c r="S27" s="4"/>
      <c r="T27" s="4"/>
      <c r="U27" s="4"/>
      <c r="V27" s="4"/>
    </row>
    <row r="28" spans="1:22" s="2" customFormat="1" ht="14.25" customHeight="1" x14ac:dyDescent="0.25">
      <c r="A28" s="15"/>
      <c r="B28" s="29"/>
      <c r="C28" s="17"/>
      <c r="D28" s="18"/>
      <c r="E28" s="18"/>
      <c r="F28" s="15"/>
      <c r="G28" s="19"/>
      <c r="H28" s="31"/>
      <c r="I28" s="43"/>
      <c r="J28" s="44"/>
      <c r="L28" s="2">
        <v>23000</v>
      </c>
      <c r="M28" s="4">
        <f t="shared" si="1"/>
        <v>0</v>
      </c>
      <c r="N28" s="21">
        <f t="shared" si="2"/>
        <v>0</v>
      </c>
      <c r="O28" s="4" t="e">
        <f>M28-#REF!</f>
        <v>#REF!</v>
      </c>
      <c r="P28" s="4">
        <f t="shared" si="0"/>
        <v>-23000</v>
      </c>
      <c r="S28" s="4"/>
      <c r="T28" s="4"/>
      <c r="U28" s="4"/>
      <c r="V28" s="4"/>
    </row>
    <row r="29" spans="1:22" s="2" customFormat="1" ht="14.25" customHeight="1" x14ac:dyDescent="0.25">
      <c r="A29" s="22"/>
      <c r="B29" s="23"/>
      <c r="C29" s="24"/>
      <c r="D29" s="25"/>
      <c r="E29" s="26"/>
      <c r="F29" s="22"/>
      <c r="G29" s="27"/>
      <c r="H29" s="28"/>
      <c r="I29" s="45"/>
      <c r="J29" s="46"/>
      <c r="L29" s="2">
        <v>19000</v>
      </c>
      <c r="M29" s="4">
        <f t="shared" si="1"/>
        <v>0</v>
      </c>
      <c r="N29" s="21">
        <f t="shared" si="2"/>
        <v>0</v>
      </c>
      <c r="O29" s="4" t="e">
        <f>M29-#REF!</f>
        <v>#REF!</v>
      </c>
      <c r="P29" s="4">
        <f t="shared" si="0"/>
        <v>-19000</v>
      </c>
      <c r="S29" s="4"/>
      <c r="T29" s="4"/>
      <c r="U29" s="4"/>
      <c r="V29" s="4"/>
    </row>
    <row r="30" spans="1:22" s="2" customFormat="1" ht="14.25" customHeight="1" x14ac:dyDescent="0.25">
      <c r="A30" s="15"/>
      <c r="B30" s="29"/>
      <c r="C30" s="17"/>
      <c r="D30" s="18"/>
      <c r="E30" s="18"/>
      <c r="F30" s="15"/>
      <c r="G30" s="19"/>
      <c r="H30" s="31"/>
      <c r="I30" s="43"/>
      <c r="J30" s="44"/>
      <c r="L30" s="2">
        <v>23000</v>
      </c>
      <c r="M30" s="4">
        <f t="shared" si="1"/>
        <v>0</v>
      </c>
      <c r="N30" s="21">
        <f t="shared" si="2"/>
        <v>0</v>
      </c>
      <c r="O30" s="4" t="e">
        <f>M30-#REF!</f>
        <v>#REF!</v>
      </c>
      <c r="P30" s="4">
        <f t="shared" si="0"/>
        <v>-23000</v>
      </c>
      <c r="S30" s="4"/>
      <c r="T30" s="4"/>
      <c r="U30" s="4"/>
      <c r="V30" s="4"/>
    </row>
    <row r="31" spans="1:22" s="2" customFormat="1" ht="14.25" customHeight="1" x14ac:dyDescent="0.25">
      <c r="A31" s="22"/>
      <c r="B31" s="23"/>
      <c r="C31" s="24"/>
      <c r="D31" s="25"/>
      <c r="E31" s="26"/>
      <c r="F31" s="22"/>
      <c r="G31" s="27"/>
      <c r="H31" s="28"/>
      <c r="I31" s="45"/>
      <c r="J31" s="46"/>
      <c r="L31" s="2">
        <v>35000</v>
      </c>
      <c r="M31" s="4">
        <f t="shared" si="1"/>
        <v>0</v>
      </c>
      <c r="N31" s="21">
        <f t="shared" si="2"/>
        <v>0</v>
      </c>
      <c r="O31" s="4" t="e">
        <f>M31-#REF!</f>
        <v>#REF!</v>
      </c>
      <c r="P31" s="4">
        <f t="shared" si="0"/>
        <v>-35000</v>
      </c>
      <c r="S31" s="4"/>
      <c r="T31" s="4"/>
      <c r="U31" s="4"/>
      <c r="V31" s="4"/>
    </row>
    <row r="32" spans="1:22" s="2" customFormat="1" ht="14.25" customHeight="1" x14ac:dyDescent="0.2">
      <c r="A32" s="15"/>
      <c r="B32" s="29"/>
      <c r="C32" s="17"/>
      <c r="D32" s="18"/>
      <c r="E32" s="18"/>
      <c r="F32" s="15"/>
      <c r="G32" s="19"/>
      <c r="H32" s="31"/>
      <c r="I32" s="43"/>
      <c r="J32" s="44"/>
      <c r="L32" s="2">
        <v>70000</v>
      </c>
      <c r="M32" s="4">
        <f t="shared" si="1"/>
        <v>0</v>
      </c>
      <c r="N32" s="21">
        <f t="shared" si="2"/>
        <v>0</v>
      </c>
      <c r="O32" s="4" t="e">
        <f>M32-#REF!</f>
        <v>#REF!</v>
      </c>
      <c r="P32" s="4">
        <f t="shared" si="0"/>
        <v>-70000</v>
      </c>
      <c r="S32" s="4"/>
      <c r="T32" s="4"/>
      <c r="U32" s="4"/>
      <c r="V32" s="4"/>
    </row>
    <row r="33" spans="1:22" s="2" customFormat="1" ht="14.25" customHeight="1" x14ac:dyDescent="0.2">
      <c r="A33" s="22"/>
      <c r="B33" s="23"/>
      <c r="C33" s="24"/>
      <c r="D33" s="25"/>
      <c r="E33" s="26"/>
      <c r="F33" s="22"/>
      <c r="G33" s="27"/>
      <c r="H33" s="28"/>
      <c r="I33" s="45"/>
      <c r="J33" s="46"/>
      <c r="L33" s="2">
        <v>4500</v>
      </c>
      <c r="M33" s="4">
        <f t="shared" si="1"/>
        <v>0</v>
      </c>
      <c r="N33" s="21">
        <f t="shared" si="2"/>
        <v>0</v>
      </c>
      <c r="O33" s="4" t="e">
        <f>M33-#REF!</f>
        <v>#REF!</v>
      </c>
      <c r="P33" s="4">
        <f t="shared" si="0"/>
        <v>-4500</v>
      </c>
      <c r="S33" s="4"/>
      <c r="T33" s="4"/>
    </row>
    <row r="34" spans="1:22" s="2" customFormat="1" x14ac:dyDescent="0.25">
      <c r="A34" s="15"/>
      <c r="B34" s="16"/>
      <c r="C34" s="17"/>
      <c r="D34" s="18"/>
      <c r="E34" s="18"/>
      <c r="F34" s="15"/>
      <c r="G34" s="19"/>
      <c r="H34" s="31"/>
      <c r="I34" s="43"/>
      <c r="J34" s="44"/>
      <c r="L34" s="2">
        <v>4000</v>
      </c>
      <c r="M34" s="4">
        <f t="shared" si="1"/>
        <v>0</v>
      </c>
      <c r="N34" s="21">
        <f t="shared" si="2"/>
        <v>0</v>
      </c>
      <c r="O34" s="4" t="e">
        <f>M34-#REF!</f>
        <v>#REF!</v>
      </c>
      <c r="P34" s="4">
        <f t="shared" si="0"/>
        <v>-4000</v>
      </c>
      <c r="S34" s="4"/>
      <c r="T34" s="4"/>
    </row>
    <row r="35" spans="1:22" s="2" customFormat="1" ht="14.25" customHeight="1" x14ac:dyDescent="0.2">
      <c r="A35" s="22"/>
      <c r="B35" s="23"/>
      <c r="C35" s="24"/>
      <c r="D35" s="25"/>
      <c r="E35" s="26"/>
      <c r="F35" s="22"/>
      <c r="G35" s="27"/>
      <c r="H35" s="28"/>
      <c r="I35" s="45"/>
      <c r="J35" s="46"/>
      <c r="L35" s="2">
        <v>3500</v>
      </c>
      <c r="M35" s="4">
        <f t="shared" si="1"/>
        <v>0</v>
      </c>
      <c r="N35" s="21">
        <f t="shared" si="2"/>
        <v>0</v>
      </c>
      <c r="O35" s="4" t="e">
        <f>M35-#REF!</f>
        <v>#REF!</v>
      </c>
      <c r="P35" s="4">
        <f t="shared" si="0"/>
        <v>-3500</v>
      </c>
      <c r="S35" s="4"/>
      <c r="T35" s="4"/>
      <c r="U35" s="4"/>
      <c r="V35" s="4"/>
    </row>
    <row r="36" spans="1:22" s="2" customFormat="1" ht="14.25" customHeight="1" x14ac:dyDescent="0.2">
      <c r="A36" s="15"/>
      <c r="B36" s="29"/>
      <c r="C36" s="17"/>
      <c r="D36" s="18"/>
      <c r="E36" s="18"/>
      <c r="F36" s="15"/>
      <c r="G36" s="19"/>
      <c r="H36" s="31"/>
      <c r="I36" s="43"/>
      <c r="J36" s="44"/>
      <c r="L36" s="2">
        <v>3000</v>
      </c>
      <c r="M36" s="4">
        <f t="shared" si="1"/>
        <v>0</v>
      </c>
      <c r="N36" s="21">
        <f t="shared" si="2"/>
        <v>0</v>
      </c>
      <c r="O36" s="4" t="e">
        <f>M36-#REF!</f>
        <v>#REF!</v>
      </c>
      <c r="P36" s="4">
        <f t="shared" si="0"/>
        <v>-3000</v>
      </c>
      <c r="S36" s="4"/>
      <c r="T36" s="4"/>
      <c r="U36" s="4"/>
      <c r="V36" s="4"/>
    </row>
    <row r="37" spans="1:22" s="2" customFormat="1" ht="14.25" customHeight="1" x14ac:dyDescent="0.2">
      <c r="A37" s="22"/>
      <c r="B37" s="23"/>
      <c r="C37" s="24"/>
      <c r="D37" s="25"/>
      <c r="E37" s="26"/>
      <c r="F37" s="22"/>
      <c r="G37" s="27"/>
      <c r="H37" s="28"/>
      <c r="I37" s="45"/>
      <c r="J37" s="46"/>
      <c r="L37" s="2">
        <v>2500</v>
      </c>
      <c r="M37" s="4">
        <f t="shared" si="1"/>
        <v>0</v>
      </c>
      <c r="N37" s="21">
        <f t="shared" si="2"/>
        <v>0</v>
      </c>
      <c r="O37" s="4" t="e">
        <f>M37-#REF!</f>
        <v>#REF!</v>
      </c>
      <c r="P37" s="4">
        <f t="shared" si="0"/>
        <v>-2500</v>
      </c>
      <c r="S37" s="4"/>
      <c r="T37" s="4"/>
      <c r="U37" s="4"/>
      <c r="V37" s="4"/>
    </row>
    <row r="38" spans="1:22" s="2" customFormat="1" ht="14.25" customHeight="1" x14ac:dyDescent="0.2">
      <c r="A38" s="15"/>
      <c r="B38" s="29"/>
      <c r="C38" s="17"/>
      <c r="D38" s="18"/>
      <c r="E38" s="18"/>
      <c r="F38" s="15"/>
      <c r="G38" s="19"/>
      <c r="H38" s="31"/>
      <c r="I38" s="43"/>
      <c r="J38" s="44"/>
      <c r="L38" s="2">
        <v>2500</v>
      </c>
      <c r="M38" s="4">
        <f t="shared" si="1"/>
        <v>0</v>
      </c>
      <c r="N38" s="21">
        <f t="shared" si="2"/>
        <v>0</v>
      </c>
      <c r="O38" s="4" t="e">
        <f>M38-#REF!</f>
        <v>#REF!</v>
      </c>
      <c r="P38" s="4">
        <f t="shared" si="0"/>
        <v>-2500</v>
      </c>
      <c r="S38" s="4"/>
      <c r="T38" s="4"/>
      <c r="U38" s="4"/>
      <c r="V38" s="4"/>
    </row>
    <row r="39" spans="1:22" s="2" customFormat="1" ht="14.25" customHeight="1" x14ac:dyDescent="0.2">
      <c r="A39" s="22"/>
      <c r="B39" s="23"/>
      <c r="C39" s="24"/>
      <c r="D39" s="25"/>
      <c r="E39" s="26"/>
      <c r="F39" s="22"/>
      <c r="G39" s="27"/>
      <c r="H39" s="28"/>
      <c r="I39" s="45"/>
      <c r="J39" s="46"/>
      <c r="L39" s="2">
        <v>2000</v>
      </c>
      <c r="M39" s="4">
        <f t="shared" si="1"/>
        <v>0</v>
      </c>
      <c r="N39" s="21">
        <f t="shared" si="2"/>
        <v>0</v>
      </c>
      <c r="O39" s="4" t="e">
        <f>M39-#REF!</f>
        <v>#REF!</v>
      </c>
      <c r="P39" s="4">
        <f t="shared" si="0"/>
        <v>-2000</v>
      </c>
      <c r="S39" s="4"/>
      <c r="T39" s="4"/>
      <c r="U39" s="4"/>
      <c r="V39" s="4"/>
    </row>
    <row r="40" spans="1:22" s="2" customFormat="1" ht="14.25" customHeight="1" x14ac:dyDescent="0.2">
      <c r="A40" s="15"/>
      <c r="B40" s="29"/>
      <c r="C40" s="17"/>
      <c r="D40" s="18"/>
      <c r="E40" s="18"/>
      <c r="F40" s="15"/>
      <c r="G40" s="19"/>
      <c r="H40" s="31"/>
      <c r="I40" s="43"/>
      <c r="J40" s="44"/>
      <c r="L40" s="2">
        <v>1500</v>
      </c>
      <c r="M40" s="4">
        <f t="shared" si="1"/>
        <v>0</v>
      </c>
      <c r="N40" s="21">
        <f t="shared" si="2"/>
        <v>0</v>
      </c>
      <c r="O40" s="4" t="e">
        <f>M40-#REF!</f>
        <v>#REF!</v>
      </c>
      <c r="P40" s="4">
        <f t="shared" si="0"/>
        <v>-1500</v>
      </c>
      <c r="S40" s="4"/>
      <c r="T40" s="4"/>
    </row>
    <row r="41" spans="1:22" s="2" customFormat="1" x14ac:dyDescent="0.25">
      <c r="A41" s="22"/>
      <c r="B41" s="30"/>
      <c r="C41" s="24"/>
      <c r="D41" s="25"/>
      <c r="E41" s="26"/>
      <c r="F41" s="22"/>
      <c r="G41" s="27"/>
      <c r="H41" s="28"/>
      <c r="I41" s="45"/>
      <c r="J41" s="46"/>
      <c r="L41" s="2">
        <v>10000</v>
      </c>
      <c r="M41" s="4">
        <f t="shared" si="1"/>
        <v>0</v>
      </c>
      <c r="N41" s="21">
        <f t="shared" si="2"/>
        <v>0</v>
      </c>
      <c r="O41" s="4" t="e">
        <f>M41-#REF!</f>
        <v>#REF!</v>
      </c>
      <c r="P41" s="4">
        <f t="shared" si="0"/>
        <v>-10000</v>
      </c>
      <c r="S41" s="4"/>
      <c r="T41" s="4"/>
    </row>
    <row r="42" spans="1:22" s="2" customFormat="1" ht="14.25" customHeight="1" x14ac:dyDescent="0.2">
      <c r="A42" s="15"/>
      <c r="B42" s="29"/>
      <c r="C42" s="17"/>
      <c r="D42" s="18"/>
      <c r="E42" s="18"/>
      <c r="F42" s="15"/>
      <c r="G42" s="19"/>
      <c r="H42" s="31"/>
      <c r="I42" s="43"/>
      <c r="J42" s="44"/>
      <c r="L42" s="2">
        <v>18000</v>
      </c>
      <c r="M42" s="4">
        <f t="shared" si="1"/>
        <v>0</v>
      </c>
      <c r="N42" s="21">
        <f t="shared" si="2"/>
        <v>0</v>
      </c>
      <c r="O42" s="4" t="e">
        <f>M42-#REF!</f>
        <v>#REF!</v>
      </c>
      <c r="P42" s="4">
        <f t="shared" si="0"/>
        <v>-18000</v>
      </c>
      <c r="S42" s="4"/>
      <c r="T42" s="4"/>
      <c r="U42" s="4"/>
      <c r="V42" s="4"/>
    </row>
    <row r="43" spans="1:22" s="2" customFormat="1" ht="14.25" customHeight="1" x14ac:dyDescent="0.2">
      <c r="A43" s="22"/>
      <c r="B43" s="23"/>
      <c r="C43" s="24"/>
      <c r="D43" s="25"/>
      <c r="E43" s="26"/>
      <c r="F43" s="22"/>
      <c r="G43" s="27"/>
      <c r="H43" s="28"/>
      <c r="I43" s="45"/>
      <c r="J43" s="46"/>
      <c r="L43" s="2">
        <v>8500</v>
      </c>
      <c r="M43" s="4">
        <f t="shared" si="1"/>
        <v>0</v>
      </c>
      <c r="N43" s="21">
        <f t="shared" si="2"/>
        <v>0</v>
      </c>
      <c r="O43" s="4" t="e">
        <f>M43-#REF!</f>
        <v>#REF!</v>
      </c>
      <c r="P43" s="4">
        <f t="shared" si="0"/>
        <v>-8500</v>
      </c>
      <c r="S43" s="4"/>
      <c r="T43" s="4"/>
      <c r="U43" s="4"/>
      <c r="V43" s="4"/>
    </row>
    <row r="44" spans="1:22" s="2" customFormat="1" ht="14.25" customHeight="1" x14ac:dyDescent="0.2">
      <c r="A44" s="15"/>
      <c r="B44" s="29"/>
      <c r="C44" s="17"/>
      <c r="D44" s="18"/>
      <c r="E44" s="18"/>
      <c r="F44" s="15"/>
      <c r="G44" s="19"/>
      <c r="H44" s="31"/>
      <c r="I44" s="43"/>
      <c r="J44" s="44"/>
      <c r="L44" s="2">
        <v>6000</v>
      </c>
      <c r="M44" s="4">
        <f t="shared" si="1"/>
        <v>0</v>
      </c>
      <c r="N44" s="21">
        <f t="shared" si="2"/>
        <v>0</v>
      </c>
      <c r="O44" s="4" t="e">
        <f>M44-#REF!</f>
        <v>#REF!</v>
      </c>
      <c r="P44" s="4">
        <f t="shared" si="0"/>
        <v>-6000</v>
      </c>
      <c r="S44" s="4"/>
      <c r="T44" s="4"/>
      <c r="U44" s="4"/>
      <c r="V44" s="4"/>
    </row>
    <row r="45" spans="1:22" s="2" customFormat="1" ht="14.25" customHeight="1" x14ac:dyDescent="0.2">
      <c r="A45" s="22"/>
      <c r="B45" s="23"/>
      <c r="C45" s="24"/>
      <c r="D45" s="25"/>
      <c r="E45" s="26"/>
      <c r="F45" s="22"/>
      <c r="G45" s="27"/>
      <c r="H45" s="28"/>
      <c r="I45" s="45"/>
      <c r="J45" s="46"/>
      <c r="L45" s="2">
        <v>3500</v>
      </c>
      <c r="M45" s="4">
        <f t="shared" si="1"/>
        <v>0</v>
      </c>
      <c r="N45" s="21">
        <f t="shared" si="2"/>
        <v>0</v>
      </c>
      <c r="O45" s="4" t="e">
        <f>M45-#REF!</f>
        <v>#REF!</v>
      </c>
      <c r="P45" s="4">
        <f t="shared" si="0"/>
        <v>-3500</v>
      </c>
      <c r="S45" s="4"/>
      <c r="T45" s="4"/>
      <c r="U45" s="4"/>
      <c r="V45" s="4"/>
    </row>
    <row r="46" spans="1:22" s="2" customFormat="1" ht="14.25" customHeight="1" x14ac:dyDescent="0.2">
      <c r="A46" s="15"/>
      <c r="B46" s="29"/>
      <c r="C46" s="17"/>
      <c r="D46" s="18"/>
      <c r="E46" s="18"/>
      <c r="F46" s="15"/>
      <c r="G46" s="19"/>
      <c r="H46" s="31"/>
      <c r="I46" s="43"/>
      <c r="J46" s="44"/>
      <c r="L46" s="2">
        <v>10000</v>
      </c>
      <c r="M46" s="4">
        <f t="shared" si="1"/>
        <v>0</v>
      </c>
      <c r="N46" s="21">
        <f t="shared" si="2"/>
        <v>0</v>
      </c>
      <c r="O46" s="4" t="e">
        <f>M46-#REF!</f>
        <v>#REF!</v>
      </c>
      <c r="P46" s="4">
        <f t="shared" si="0"/>
        <v>-10000</v>
      </c>
      <c r="S46" s="4"/>
      <c r="T46" s="4"/>
      <c r="U46" s="4"/>
      <c r="V46" s="4"/>
    </row>
    <row r="47" spans="1:22" s="2" customFormat="1" ht="14.25" customHeight="1" x14ac:dyDescent="0.2">
      <c r="A47" s="22"/>
      <c r="B47" s="23"/>
      <c r="C47" s="24"/>
      <c r="D47" s="25"/>
      <c r="E47" s="26"/>
      <c r="F47" s="22"/>
      <c r="G47" s="27"/>
      <c r="H47" s="28"/>
      <c r="I47" s="45"/>
      <c r="J47" s="46"/>
      <c r="L47" s="2">
        <v>700</v>
      </c>
      <c r="M47" s="4">
        <f t="shared" si="1"/>
        <v>0</v>
      </c>
      <c r="N47" s="21">
        <f t="shared" si="2"/>
        <v>0</v>
      </c>
      <c r="O47" s="4" t="e">
        <f>M47-#REF!</f>
        <v>#REF!</v>
      </c>
      <c r="P47" s="4">
        <f t="shared" si="0"/>
        <v>-700</v>
      </c>
      <c r="S47" s="4"/>
      <c r="T47" s="4"/>
      <c r="U47" s="4"/>
      <c r="V47" s="4"/>
    </row>
    <row r="48" spans="1:22" s="2" customFormat="1" ht="14.25" customHeight="1" x14ac:dyDescent="0.2">
      <c r="A48" s="15"/>
      <c r="B48" s="29"/>
      <c r="C48" s="17"/>
      <c r="D48" s="18"/>
      <c r="E48" s="18"/>
      <c r="F48" s="15"/>
      <c r="G48" s="19"/>
      <c r="H48" s="31"/>
      <c r="I48" s="43"/>
      <c r="J48" s="44"/>
      <c r="L48" s="2">
        <f>20000/100</f>
        <v>200</v>
      </c>
      <c r="M48" s="4">
        <f t="shared" si="1"/>
        <v>0</v>
      </c>
      <c r="N48" s="21">
        <f t="shared" si="2"/>
        <v>0</v>
      </c>
      <c r="O48" s="4" t="e">
        <f>M48-#REF!</f>
        <v>#REF!</v>
      </c>
      <c r="P48" s="4">
        <f t="shared" si="0"/>
        <v>-200</v>
      </c>
      <c r="S48" s="4"/>
      <c r="T48" s="4"/>
      <c r="U48" s="4"/>
      <c r="V48" s="4"/>
    </row>
    <row r="49" spans="1:22" s="2" customFormat="1" ht="14.25" customHeight="1" x14ac:dyDescent="0.2">
      <c r="A49" s="22"/>
      <c r="B49" s="23"/>
      <c r="C49" s="24"/>
      <c r="D49" s="25"/>
      <c r="E49" s="26"/>
      <c r="F49" s="22"/>
      <c r="G49" s="27"/>
      <c r="H49" s="28"/>
      <c r="I49" s="45"/>
      <c r="J49" s="46"/>
      <c r="L49" s="2">
        <v>700</v>
      </c>
      <c r="M49" s="4">
        <f t="shared" si="1"/>
        <v>0</v>
      </c>
      <c r="N49" s="21">
        <f t="shared" si="2"/>
        <v>0</v>
      </c>
      <c r="O49" s="4" t="e">
        <f>M49-#REF!</f>
        <v>#REF!</v>
      </c>
      <c r="P49" s="4">
        <f t="shared" si="0"/>
        <v>-700</v>
      </c>
      <c r="S49" s="4"/>
      <c r="T49" s="4"/>
      <c r="U49" s="4"/>
      <c r="V49" s="4"/>
    </row>
    <row r="50" spans="1:22" s="2" customFormat="1" ht="14.25" customHeight="1" x14ac:dyDescent="0.2">
      <c r="A50" s="15"/>
      <c r="B50" s="29"/>
      <c r="C50" s="17"/>
      <c r="D50" s="18"/>
      <c r="E50" s="18"/>
      <c r="F50" s="15"/>
      <c r="G50" s="19"/>
      <c r="H50" s="31"/>
      <c r="I50" s="43"/>
      <c r="J50" s="44"/>
      <c r="L50" s="2">
        <v>7000</v>
      </c>
      <c r="M50" s="4">
        <f t="shared" si="1"/>
        <v>0</v>
      </c>
      <c r="N50" s="21">
        <f t="shared" si="2"/>
        <v>0</v>
      </c>
      <c r="O50" s="4" t="e">
        <f>M50-#REF!</f>
        <v>#REF!</v>
      </c>
      <c r="P50" s="4">
        <f t="shared" si="0"/>
        <v>-7000</v>
      </c>
      <c r="S50" s="4"/>
      <c r="T50" s="4"/>
      <c r="U50" s="4"/>
      <c r="V50" s="4"/>
    </row>
    <row r="51" spans="1:22" s="2" customFormat="1" ht="6" customHeight="1" x14ac:dyDescent="0.25">
      <c r="H51" s="32"/>
      <c r="I51" s="33"/>
      <c r="J51" s="34"/>
      <c r="M51" s="4"/>
      <c r="T51" s="4"/>
      <c r="U51" s="4"/>
      <c r="V51" s="4"/>
    </row>
    <row r="52" spans="1:22" s="2" customFormat="1" x14ac:dyDescent="0.25">
      <c r="A52" s="22"/>
      <c r="B52" s="30"/>
      <c r="C52" s="24"/>
      <c r="D52" s="25"/>
      <c r="E52" s="26"/>
      <c r="F52" s="22"/>
      <c r="G52" s="27"/>
      <c r="H52" s="28"/>
      <c r="I52" s="45"/>
      <c r="J52" s="46"/>
      <c r="L52" s="2">
        <v>700</v>
      </c>
      <c r="M52" s="4">
        <f t="shared" ref="M52" si="3">L52*G52</f>
        <v>0</v>
      </c>
      <c r="N52" s="21">
        <f t="shared" ref="N52" si="4">I52-M52</f>
        <v>0</v>
      </c>
      <c r="O52" s="4" t="e">
        <f>M52-#REF!</f>
        <v>#REF!</v>
      </c>
      <c r="P52" s="4">
        <f>H52-L52</f>
        <v>-700</v>
      </c>
      <c r="S52" s="4"/>
      <c r="T52" s="4"/>
      <c r="U52" s="4"/>
      <c r="V52" s="4"/>
    </row>
    <row r="53" spans="1:22" s="2" customFormat="1" x14ac:dyDescent="0.25">
      <c r="H53" s="35" t="s">
        <v>16</v>
      </c>
      <c r="I53" s="47">
        <f>SUM(I19:J52)</f>
        <v>0</v>
      </c>
      <c r="J53" s="48"/>
      <c r="M53" s="4">
        <f>SUM(M20:M51)</f>
        <v>0</v>
      </c>
      <c r="N53" s="4">
        <f>I53-M53</f>
        <v>0</v>
      </c>
      <c r="U53" s="47"/>
      <c r="V53" s="48"/>
    </row>
    <row r="54" spans="1:22" s="2" customFormat="1" x14ac:dyDescent="0.25">
      <c r="H54" s="36" t="s">
        <v>17</v>
      </c>
      <c r="I54" s="49">
        <f>I53*11%</f>
        <v>0</v>
      </c>
      <c r="J54" s="50"/>
      <c r="M54" s="4"/>
      <c r="U54" s="47"/>
      <c r="V54" s="48"/>
    </row>
    <row r="55" spans="1:22" s="2" customFormat="1" x14ac:dyDescent="0.25">
      <c r="H55" s="35" t="s">
        <v>18</v>
      </c>
      <c r="I55" s="47">
        <f>I53+I54</f>
        <v>0</v>
      </c>
      <c r="J55" s="48"/>
      <c r="M55" s="4"/>
    </row>
    <row r="56" spans="1:22" s="2" customFormat="1" ht="6" customHeight="1" x14ac:dyDescent="0.25">
      <c r="H56" s="32"/>
      <c r="I56" s="33"/>
      <c r="J56" s="34"/>
      <c r="M56" s="4"/>
    </row>
    <row r="57" spans="1:22" x14ac:dyDescent="0.25">
      <c r="A57" s="7" t="s">
        <v>19</v>
      </c>
      <c r="B57" s="37"/>
    </row>
    <row r="58" spans="1:22" x14ac:dyDescent="0.25">
      <c r="A58" s="7"/>
      <c r="B58" s="37"/>
    </row>
    <row r="59" spans="1:22" x14ac:dyDescent="0.25">
      <c r="A59" s="7"/>
      <c r="B59" s="7"/>
    </row>
    <row r="60" spans="1:22" x14ac:dyDescent="0.25">
      <c r="H60" s="51" t="s">
        <v>20</v>
      </c>
      <c r="I60" s="51"/>
      <c r="J60" s="51"/>
    </row>
    <row r="61" spans="1:22" ht="6.6" customHeight="1" x14ac:dyDescent="0.25">
      <c r="H61" s="2"/>
      <c r="I61" s="2"/>
      <c r="J61" s="2"/>
    </row>
    <row r="62" spans="1:22" x14ac:dyDescent="0.25">
      <c r="H62" s="2"/>
      <c r="I62" s="2"/>
      <c r="J62" s="2"/>
    </row>
    <row r="63" spans="1:22" x14ac:dyDescent="0.25">
      <c r="H63" s="2"/>
      <c r="I63" s="2"/>
      <c r="J63" s="2"/>
    </row>
    <row r="64" spans="1:22" x14ac:dyDescent="0.25">
      <c r="H64" s="2"/>
      <c r="I64" s="2"/>
      <c r="J64" s="2"/>
    </row>
    <row r="65" spans="8:10" x14ac:dyDescent="0.25">
      <c r="H65" s="2"/>
      <c r="I65" s="2"/>
      <c r="J65" s="2"/>
    </row>
    <row r="66" spans="8:10" x14ac:dyDescent="0.25">
      <c r="H66" s="52" t="s">
        <v>21</v>
      </c>
      <c r="I66" s="52"/>
      <c r="J66" s="52"/>
    </row>
    <row r="67" spans="8:10" x14ac:dyDescent="0.25">
      <c r="H67" s="51" t="s">
        <v>22</v>
      </c>
      <c r="I67" s="51"/>
      <c r="J67" s="51"/>
    </row>
  </sheetData>
  <autoFilter ref="N5:N67"/>
  <mergeCells count="44">
    <mergeCell ref="I55:J55"/>
    <mergeCell ref="H60:J60"/>
    <mergeCell ref="H66:J66"/>
    <mergeCell ref="H67:J67"/>
    <mergeCell ref="I52:J52"/>
    <mergeCell ref="I53:J53"/>
    <mergeCell ref="U53:V53"/>
    <mergeCell ref="I54:J54"/>
    <mergeCell ref="U54:V54"/>
    <mergeCell ref="I46:J46"/>
    <mergeCell ref="I47:J47"/>
    <mergeCell ref="I48:J48"/>
    <mergeCell ref="I49:J49"/>
    <mergeCell ref="I50:J50"/>
    <mergeCell ref="I41:J41"/>
    <mergeCell ref="I42:J42"/>
    <mergeCell ref="I43:J43"/>
    <mergeCell ref="I44:J44"/>
    <mergeCell ref="I45:J45"/>
    <mergeCell ref="I36:J36"/>
    <mergeCell ref="I37:J37"/>
    <mergeCell ref="I38:J38"/>
    <mergeCell ref="I39:J39"/>
    <mergeCell ref="I40:J40"/>
    <mergeCell ref="I31:J31"/>
    <mergeCell ref="I32:J32"/>
    <mergeCell ref="I33:J33"/>
    <mergeCell ref="I34:J34"/>
    <mergeCell ref="I35:J35"/>
    <mergeCell ref="I26:J26"/>
    <mergeCell ref="I27:J27"/>
    <mergeCell ref="I28:J28"/>
    <mergeCell ref="I29:J29"/>
    <mergeCell ref="I30:J30"/>
    <mergeCell ref="I21:J21"/>
    <mergeCell ref="I22:J22"/>
    <mergeCell ref="I23:J23"/>
    <mergeCell ref="I24:J24"/>
    <mergeCell ref="I25:J25"/>
    <mergeCell ref="G5:J5"/>
    <mergeCell ref="A15:J16"/>
    <mergeCell ref="B18:D18"/>
    <mergeCell ref="I18:J18"/>
    <mergeCell ref="I20:J20"/>
  </mergeCells>
  <printOptions horizontalCentered="1"/>
  <pageMargins left="0.31496062992125984" right="0.27559055118110237" top="0.11811023622047245" bottom="3.937007874015748E-2" header="0.11811023622047245" footer="3.937007874015748E-2"/>
  <pageSetup paperSize="9" scale="85" orientation="portrait" useFirstPageNumber="1" horizontalDpi="4294967295" verticalDpi="4294967295" r:id="rId1"/>
  <headerFooter>
    <oddHeader>&amp;L&amp;G&amp;R&amp;G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_FilterDatabase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2026-05-11T09:26:18Z</cp:lastPrinted>
  <dcterms:created xsi:type="dcterms:W3CDTF">2020-09-24T09:12:04Z</dcterms:created>
  <dcterms:modified xsi:type="dcterms:W3CDTF">2026-05-11T13:03:16Z</dcterms:modified>
</cp:coreProperties>
</file>
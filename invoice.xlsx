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\FILE KHANZA\cikande PT Leke\Invoice\"/>
    </mc:Choice>
  </mc:AlternateContent>
  <bookViews>
    <workbookView xWindow="-105" yWindow="-105" windowWidth="23250" windowHeight="13170"/>
  </bookViews>
  <sheets>
    <sheet name="sheet" sheetId="6" r:id="rId1"/>
  </sheets>
  <definedNames>
    <definedName name="_xlnm.Print_Area" localSheetId="0">sheet!$A$1:$J$65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" i="6" l="1"/>
  <c r="J33" i="6" s="1"/>
  <c r="J35" i="6" s="1"/>
  <c r="J36" i="6" s="1"/>
  <c r="M36" i="6" s="1"/>
  <c r="J37" i="6" l="1"/>
  <c r="J38" i="6"/>
  <c r="J42" i="6" l="1"/>
</calcChain>
</file>

<file path=xl/sharedStrings.xml><?xml version="1.0" encoding="utf-8"?>
<sst xmlns="http://schemas.openxmlformats.org/spreadsheetml/2006/main" count="31" uniqueCount="29">
  <si>
    <t>INVOICE</t>
  </si>
  <si>
    <t>UP</t>
  </si>
  <si>
    <t>:</t>
  </si>
  <si>
    <t>DATE</t>
  </si>
  <si>
    <t>INV NO.</t>
  </si>
  <si>
    <t>NO</t>
  </si>
  <si>
    <t>DESCRIPTION</t>
  </si>
  <si>
    <t>QUANTITY</t>
  </si>
  <si>
    <t>PRICE</t>
  </si>
  <si>
    <t>TOTAL PRICE</t>
  </si>
  <si>
    <t>TOTAL</t>
  </si>
  <si>
    <t>PPN</t>
  </si>
  <si>
    <t>GRAND TOTAL</t>
  </si>
  <si>
    <t>Hormat Kami ,</t>
  </si>
  <si>
    <t>BANK BNI KC SERANG</t>
  </si>
  <si>
    <t>A/N - KHANZA PERDANA MANDIRI</t>
  </si>
  <si>
    <t xml:space="preserve">  </t>
  </si>
  <si>
    <t>AJAT SUDRAJAT</t>
  </si>
  <si>
    <t>RETENSI</t>
  </si>
  <si>
    <t>PPH 2%</t>
  </si>
  <si>
    <t>2027924687</t>
  </si>
  <si>
    <t>SPK NO.</t>
  </si>
  <si>
    <t>IBU MARTHA</t>
  </si>
  <si>
    <t>TOTAL TAGIHAN</t>
  </si>
  <si>
    <t>PENCAIRAN 80%</t>
  </si>
  <si>
    <t>PPN 11 %</t>
  </si>
  <si>
    <t>POTONGAN K3</t>
  </si>
  <si>
    <t xml:space="preserve"> </t>
  </si>
  <si>
    <t># LIMA JUTA LIMA RATUS TIGA PULUH TIGA RIBU DUA RATUS SEMBILAN PULUH DELAPAN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</si>
</sst>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&quot;Rp&quot;* #,##0_);_(&quot;Rp&quot;* \(#,##0\);_(&quot;Rp&quot;* &quot;-&quot;_);_(@_)"/>
    <numFmt numFmtId="167" formatCode="_-&quot;Rp&quot;* #,##0_-;\-&quot;Rp&quot;* #,##0_-;_-&quot;Rp&quot;* &quot;-&quot;??_-;_-@_-"/>
    <numFmt numFmtId="168" formatCode="@\ * \: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b/>
      <sz val="18"/>
      <color rgb="FFFFFFFF"/>
      <name val="Arial"/>
      <family val="2"/>
    </font>
    <font>
      <b/>
      <sz val="12"/>
      <color theme="3" tint="-0.499984740745262"/>
      <name val="Arial"/>
      <family val="2"/>
    </font>
    <font>
      <sz val="12"/>
      <color theme="3" tint="-0.499984740745262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9"/>
      <color theme="3" tint="-0.499984740745262"/>
      <name val="Arial"/>
      <family val="2"/>
    </font>
    <font>
      <b/>
      <sz val="10"/>
      <color theme="3" tint="-0.499984740745262"/>
      <name val="Arial"/>
      <family val="2"/>
    </font>
    <font>
      <sz val="10"/>
      <color theme="3" tint="-0.499984740745262"/>
      <name val="Arial"/>
      <family val="2"/>
    </font>
    <font>
      <sz val="9"/>
      <color theme="3" tint="-0.499984740745262"/>
      <name val="Arial"/>
      <family val="2"/>
    </font>
    <font>
      <sz val="11"/>
      <color theme="3" tint="-0.499984740745262"/>
      <name val="Arial"/>
      <family val="2"/>
    </font>
    <font>
      <b/>
      <i/>
      <sz val="10"/>
      <color theme="3" tint="-0.499984740745262"/>
      <name val="Arial"/>
      <family val="2"/>
    </font>
    <font>
      <i/>
      <sz val="10"/>
      <color theme="3" tint="-0.499984740745262"/>
      <name val="Arial"/>
      <family val="2"/>
    </font>
    <font>
      <sz val="8"/>
      <color theme="3" tint="-0.499984740745262"/>
      <name val="Arial"/>
      <family val="2"/>
    </font>
    <font>
      <b/>
      <sz val="11"/>
      <color theme="3" tint="-0.499984740745262"/>
      <name val="Arial"/>
      <family val="2"/>
    </font>
    <font>
      <b/>
      <u/>
      <sz val="12"/>
      <color theme="3" tint="-0.499984740745262"/>
      <name val="Arial"/>
      <family val="2"/>
    </font>
    <font>
      <i/>
      <sz val="12"/>
      <color theme="3" tint="-0.49998474074526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65" fontId="2" fillId="0" borderId="0" xfId="1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14" fontId="5" fillId="2" borderId="0" xfId="0" quotePrefix="1" applyNumberFormat="1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14" fontId="8" fillId="2" borderId="0" xfId="0" quotePrefix="1" applyNumberFormat="1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14" fontId="10" fillId="2" borderId="0" xfId="0" quotePrefix="1" applyNumberFormat="1" applyFont="1" applyFill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5" fillId="2" borderId="0" xfId="0" quotePrefix="1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0" fontId="2" fillId="6" borderId="0" xfId="0" applyFont="1" applyFill="1" applyAlignment="1" applyProtection="1">
      <alignment vertical="center"/>
      <protection locked="0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65" fontId="5" fillId="6" borderId="1" xfId="1" applyNumberFormat="1" applyFont="1" applyFill="1" applyBorder="1" applyAlignment="1">
      <alignment vertical="center"/>
    </xf>
    <xf numFmtId="166" fontId="5" fillId="6" borderId="1" xfId="0" applyNumberFormat="1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67" fontId="5" fillId="4" borderId="0" xfId="0" applyNumberFormat="1" applyFont="1" applyFill="1" applyAlignment="1">
      <alignment vertical="center"/>
    </xf>
    <xf numFmtId="166" fontId="5" fillId="7" borderId="0" xfId="0" applyNumberFormat="1" applyFont="1" applyFill="1" applyAlignment="1">
      <alignment vertical="center"/>
    </xf>
    <xf numFmtId="164" fontId="5" fillId="7" borderId="0" xfId="0" applyNumberFormat="1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6" fontId="6" fillId="2" borderId="0" xfId="0" applyNumberFormat="1" applyFont="1" applyFill="1" applyAlignment="1">
      <alignment vertical="center"/>
    </xf>
    <xf numFmtId="0" fontId="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Alignment="1">
      <alignment horizontal="left" vertical="center" wrapText="1"/>
    </xf>
    <xf numFmtId="166" fontId="6" fillId="7" borderId="0" xfId="0" applyNumberFormat="1" applyFont="1" applyFill="1" applyAlignment="1">
      <alignment vertical="center"/>
    </xf>
    <xf numFmtId="164" fontId="6" fillId="2" borderId="0" xfId="0" applyNumberFormat="1" applyFont="1" applyFill="1" applyAlignment="1">
      <alignment horizontal="right" vertical="center"/>
    </xf>
    <xf numFmtId="167" fontId="5" fillId="4" borderId="0" xfId="0" applyNumberFormat="1" applyFont="1" applyFill="1" applyAlignment="1">
      <alignment horizontal="center" vertical="center"/>
    </xf>
    <xf numFmtId="0" fontId="14" fillId="2" borderId="0" xfId="0" applyFont="1" applyFill="1" applyAlignment="1" applyProtection="1">
      <alignment vertical="center"/>
      <protection locked="0"/>
    </xf>
    <xf numFmtId="0" fontId="11" fillId="2" borderId="0" xfId="0" quotePrefix="1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2" fillId="2" borderId="0" xfId="0" quotePrefix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2" fillId="8" borderId="3" xfId="0" applyFont="1" applyFill="1" applyBorder="1"/>
    <xf numFmtId="0" fontId="21" fillId="8" borderId="4" xfId="0" applyFont="1" applyFill="1" applyBorder="1"/>
    <xf numFmtId="0" fontId="21" fillId="8" borderId="2" xfId="0" applyFont="1" applyFill="1" applyBorder="1"/>
    <xf numFmtId="0" fontId="21" fillId="8" borderId="5" xfId="0" applyFont="1" applyFill="1" applyBorder="1"/>
    <xf numFmtId="0" fontId="21" fillId="9" borderId="3" xfId="0" applyFont="1" applyFill="1" applyBorder="1"/>
    <xf numFmtId="0" fontId="21" fillId="9" borderId="4" xfId="0" applyFont="1" applyFill="1" applyBorder="1"/>
    <xf numFmtId="0" fontId="21" fillId="9" borderId="2" xfId="0" applyFont="1" applyFill="1" applyBorder="1"/>
    <xf numFmtId="0" fontId="21" fillId="8" borderId="3" xfId="0" applyFont="1" applyFill="1" applyBorder="1"/>
    <xf numFmtId="165" fontId="21" fillId="8" borderId="5" xfId="1" applyNumberFormat="1" applyFont="1" applyFill="1" applyBorder="1"/>
    <xf numFmtId="0" fontId="21" fillId="8" borderId="5" xfId="0" applyFont="1" applyFill="1" applyBorder="1" applyAlignment="1">
      <alignment horizontal="center" vertical="center"/>
    </xf>
    <xf numFmtId="14" fontId="18" fillId="2" borderId="0" xfId="0" quotePrefix="1" applyNumberFormat="1" applyFont="1" applyFill="1" applyAlignment="1">
      <alignment horizontal="left" vertical="center"/>
    </xf>
    <xf numFmtId="166" fontId="2" fillId="0" borderId="0" xfId="0" applyNumberFormat="1" applyFont="1" applyAlignment="1" applyProtection="1">
      <alignment vertical="center"/>
      <protection locked="0"/>
    </xf>
    <xf numFmtId="166" fontId="17" fillId="2" borderId="0" xfId="0" applyNumberFormat="1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5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8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8" fillId="2" borderId="0" xfId="0" quotePrefix="1" applyFont="1" applyFill="1" applyAlignment="1">
      <alignment horizontal="center" vertical="center" wrapText="1"/>
    </xf>
    <xf numFmtId="0" fontId="20" fillId="2" borderId="0" xfId="0" applyFont="1" applyFill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8" fillId="2" borderId="0" xfId="0" quotePrefix="1" applyFont="1" applyFill="1" applyAlignment="1">
      <alignment horizontal="center" vertical="center"/>
    </xf>
    <xf numFmtId="168" fontId="5" fillId="2" borderId="0" xfId="0" applyNumberFormat="1" applyFont="1" applyFill="1" applyAlignment="1">
      <alignment vertical="center"/>
    </xf>
    <xf numFmtId="0" fontId="21" fillId="8" borderId="5" xfId="0" applyFont="1" applyFill="1" applyBorder="1" applyAlignment="1">
      <alignment horizontal="center"/>
    </xf>
    <xf numFmtId="0" fontId="21" fillId="9" borderId="5" xfId="0" applyFont="1" applyFill="1" applyBorder="1" applyAlignment="1">
      <alignment horizontal="center"/>
    </xf>
    <xf numFmtId="0" fontId="21" fillId="9" borderId="5" xfId="0" applyFont="1" applyFill="1" applyBorder="1" applyAlignment="1">
      <alignment horizontal="center" vertical="center"/>
    </xf>
    <xf numFmtId="165" fontId="21" fillId="9" borderId="5" xfId="1" applyNumberFormat="1" applyFont="1" applyFill="1" applyBorder="1" applyAlignment="1">
      <alignment vertical="center"/>
    </xf>
    <xf numFmtId="166" fontId="6" fillId="6" borderId="5" xfId="0" applyNumberFormat="1" applyFont="1" applyFill="1" applyBorder="1" applyAlignment="1">
      <alignment vertical="center"/>
    </xf>
    <xf numFmtId="166" fontId="6" fillId="5" borderId="5" xfId="0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201708</xdr:colOff>
      <xdr:row>53</xdr:row>
      <xdr:rowOff>179293</xdr:rowOff>
    </xdr:from>
    <xdr:to>
      <xdr:col>12</xdr:col>
      <xdr:colOff>1920691</xdr:colOff>
      <xdr:row>62</xdr:row>
      <xdr:rowOff>156881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9473" y="11530852"/>
          <a:ext cx="2324100" cy="1714500"/>
        </a:xfrm>
        <a:prstGeom prst="rect">
          <a:avLst/>
        </a:prstGeom>
      </xdr:spPr>
    </xdr:pic>
    <xdr:clientData/>
  </xdr:twoCellAnchor>
  <xdr:twoCellAnchor editAs="oneCell">
    <xdr:from>
      <xdr:col>12</xdr:col>
      <xdr:colOff>224119</xdr:colOff>
      <xdr:row>52</xdr:row>
      <xdr:rowOff>190499</xdr:rowOff>
    </xdr:from>
    <xdr:to>
      <xdr:col>12</xdr:col>
      <xdr:colOff>2532531</xdr:colOff>
      <xdr:row>61</xdr:row>
      <xdr:rowOff>168087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DC0ABF1-07CE-44C2-9B8F-D727FE4B1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41" t="33516" r="23413" b="36843"/>
        <a:stretch/>
      </xdr:blipFill>
      <xdr:spPr>
        <a:xfrm>
          <a:off x="10287001" y="11351558"/>
          <a:ext cx="2308412" cy="17145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66675</xdr:rowOff>
    </xdr:from>
    <xdr:to>
      <xdr:col>5</xdr:col>
      <xdr:colOff>257642</xdr:colOff>
      <xdr:row>5</xdr:row>
      <xdr:rowOff>26433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9A2BCC0E-25EA-4E8A-9B4D-8E96C07113CC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420"/>
        <a:stretch/>
      </xdr:blipFill>
      <xdr:spPr>
        <a:xfrm>
          <a:off x="66675" y="66675"/>
          <a:ext cx="4067642" cy="721758"/>
        </a:xfrm>
        <a:prstGeom prst="rect">
          <a:avLst/>
        </a:prstGeom>
      </xdr:spPr>
    </xdr:pic>
    <xdr:clientData/>
  </xdr:twoCellAnchor>
  <xdr:twoCellAnchor editAs="oneCell">
    <xdr:from>
      <xdr:col>7</xdr:col>
      <xdr:colOff>663388</xdr:colOff>
      <xdr:row>0</xdr:row>
      <xdr:rowOff>124543</xdr:rowOff>
    </xdr:from>
    <xdr:to>
      <xdr:col>9</xdr:col>
      <xdr:colOff>606562</xdr:colOff>
      <xdr:row>5</xdr:row>
      <xdr:rowOff>44111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D9B04D25-6D16-46E1-943C-BB1227F3B9BB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80" t="7399"/>
        <a:stretch/>
      </xdr:blipFill>
      <xdr:spPr>
        <a:xfrm>
          <a:off x="5568763" y="124543"/>
          <a:ext cx="1914849" cy="681568"/>
        </a:xfrm>
        <a:prstGeom prst="rect">
          <a:avLst/>
        </a:prstGeom>
      </xdr:spPr>
    </xdr:pic>
    <xdr:clientData/>
  </xdr:twoCellAnchor>
  <xdr:twoCellAnchor>
    <xdr:from>
      <xdr:col>0</xdr:col>
      <xdr:colOff>136151</xdr:colOff>
      <xdr:row>48</xdr:row>
      <xdr:rowOff>124946</xdr:rowOff>
    </xdr:from>
    <xdr:to>
      <xdr:col>3</xdr:col>
      <xdr:colOff>1712259</xdr:colOff>
      <xdr:row>52</xdr:row>
      <xdr:rowOff>20171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925D8AF9-713B-4A9D-964D-74A95A48FF73}"/>
            </a:ext>
          </a:extLst>
        </xdr:cNvPr>
        <xdr:cNvSpPr/>
      </xdr:nvSpPr>
      <xdr:spPr>
        <a:xfrm>
          <a:off x="136151" y="10450046"/>
          <a:ext cx="2576233" cy="6572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Z63"/>
  <sheetViews>
    <sheetView showGridLines="0" tabSelected="1" view="pageBreakPreview" zoomScale="85" zoomScaleNormal="70" zoomScaleSheetLayoutView="85" workbookViewId="0">
      <selection activeCell="E16" sqref="E16"/>
    </sheetView>
  </sheetViews>
  <sheetFormatPr defaultColWidth="9" defaultRowHeight="15" x14ac:dyDescent="0.25"/>
  <cols>
    <col min="1" max="1" width="6" style="4" customWidth="1"/>
    <col min="2" max="2" width="6.28515625" style="4" customWidth="1"/>
    <col min="3" max="3" width="2.7109375" style="4" customWidth="1"/>
    <col min="4" max="4" width="27.140625" style="4" customWidth="1"/>
    <col min="5" max="5" width="16" style="4" customWidth="1"/>
    <col min="6" max="7" width="7.7109375" style="4" customWidth="1"/>
    <col min="8" max="8" width="29.5703125" style="4" customWidth="1"/>
    <col min="9" max="9" width="29.5703125" style="4" hidden="1" customWidth="1"/>
    <col min="10" max="10" width="29.5703125" style="4" customWidth="1"/>
    <col min="11" max="12" width="9.140625" style="4" customWidth="1"/>
    <col min="13" max="13" width="57.7109375" style="4" bestFit="1" customWidth="1"/>
    <col min="14" max="234" width="9.140625" style="4" customWidth="1"/>
    <col min="235" max="16384" width="9" style="56"/>
  </cols>
  <sheetData>
    <row r="1" spans="1:10" s="4" customFormat="1" ht="12" customHeight="1" x14ac:dyDescent="0.25">
      <c r="A1" s="1"/>
      <c r="B1" s="1"/>
      <c r="C1" s="1"/>
      <c r="D1" s="1"/>
      <c r="E1" s="2"/>
      <c r="F1" s="1"/>
      <c r="G1" s="1"/>
      <c r="H1" s="1"/>
      <c r="I1" s="1"/>
      <c r="J1" s="1"/>
    </row>
    <row r="2" spans="1:10" s="4" customFormat="1" ht="12" customHeight="1" x14ac:dyDescent="0.25">
      <c r="A2" s="1"/>
      <c r="B2" s="1"/>
      <c r="C2" s="1"/>
      <c r="D2" s="1"/>
      <c r="E2" s="2"/>
      <c r="F2" s="1"/>
      <c r="G2" s="1"/>
      <c r="H2" s="1"/>
      <c r="I2" s="1"/>
      <c r="J2" s="1"/>
    </row>
    <row r="3" spans="1:10" s="4" customFormat="1" ht="12" customHeight="1" x14ac:dyDescent="0.25">
      <c r="A3" s="1"/>
      <c r="B3" s="1"/>
      <c r="C3" s="1"/>
      <c r="D3" s="1"/>
      <c r="E3" s="2"/>
      <c r="F3" s="1"/>
      <c r="G3" s="1"/>
      <c r="H3" s="1"/>
      <c r="I3" s="1"/>
      <c r="J3" s="1"/>
    </row>
    <row r="4" spans="1:10" s="4" customFormat="1" ht="12" customHeight="1" x14ac:dyDescent="0.25">
      <c r="A4" s="1"/>
      <c r="B4" s="1"/>
      <c r="C4" s="1"/>
      <c r="D4" s="1"/>
      <c r="E4" s="2"/>
      <c r="F4" s="1"/>
      <c r="G4" s="1"/>
      <c r="H4" s="1"/>
      <c r="I4" s="1"/>
      <c r="J4" s="1"/>
    </row>
    <row r="5" spans="1:10" s="4" customFormat="1" ht="12" customHeight="1" x14ac:dyDescent="0.25">
      <c r="A5" s="1"/>
      <c r="B5" s="1"/>
      <c r="C5" s="1"/>
      <c r="D5" s="1"/>
      <c r="E5" s="2"/>
      <c r="F5" s="1"/>
      <c r="G5" s="1"/>
      <c r="H5" s="1"/>
      <c r="I5" s="1"/>
      <c r="J5" s="1"/>
    </row>
    <row r="6" spans="1:10" s="4" customFormat="1" ht="12" customHeight="1" x14ac:dyDescent="0.25">
      <c r="A6" s="1"/>
      <c r="B6" s="1"/>
      <c r="C6" s="1"/>
      <c r="D6" s="1"/>
      <c r="E6" s="2"/>
      <c r="F6" s="1"/>
      <c r="G6" s="1"/>
      <c r="H6" s="1"/>
      <c r="I6" s="1"/>
      <c r="J6" s="1"/>
    </row>
    <row r="7" spans="1:10" s="4" customFormat="1" ht="12" customHeight="1" x14ac:dyDescent="0.25">
      <c r="A7" s="1"/>
      <c r="B7" s="1"/>
      <c r="C7" s="1"/>
      <c r="D7" s="1"/>
      <c r="E7" s="2"/>
      <c r="F7" s="1"/>
      <c r="G7" s="1"/>
      <c r="H7" s="1"/>
      <c r="I7" s="1"/>
      <c r="J7" s="1"/>
    </row>
    <row r="8" spans="1:10" s="4" customFormat="1" ht="12" customHeight="1" x14ac:dyDescent="0.25">
      <c r="A8" s="1"/>
      <c r="B8" s="1"/>
      <c r="C8" s="1"/>
      <c r="D8" s="1"/>
      <c r="E8" s="2"/>
      <c r="F8" s="1"/>
      <c r="G8" s="1"/>
      <c r="H8" s="1"/>
      <c r="I8" s="1"/>
      <c r="J8" s="1"/>
    </row>
    <row r="9" spans="1:10" s="4" customFormat="1" ht="12" customHeight="1" x14ac:dyDescent="0.25">
      <c r="A9" s="1"/>
      <c r="B9" s="1"/>
      <c r="C9" s="1"/>
      <c r="D9" s="1"/>
      <c r="E9" s="2"/>
      <c r="F9" s="1"/>
      <c r="G9" s="1"/>
      <c r="H9" s="73" t="s">
        <v>0</v>
      </c>
      <c r="I9" s="73"/>
      <c r="J9" s="73"/>
    </row>
    <row r="10" spans="1:10" s="4" customFormat="1" ht="12" customHeight="1" x14ac:dyDescent="0.25">
      <c r="A10" s="1"/>
      <c r="B10" s="1"/>
      <c r="C10" s="1"/>
      <c r="D10" s="1"/>
      <c r="E10" s="2"/>
      <c r="F10" s="1"/>
      <c r="G10" s="1"/>
      <c r="H10" s="73"/>
      <c r="I10" s="73"/>
      <c r="J10" s="73"/>
    </row>
    <row r="11" spans="1:10" s="4" customFormat="1" ht="12" customHeight="1" x14ac:dyDescent="0.25">
      <c r="A11" s="1"/>
      <c r="B11" s="1"/>
      <c r="C11" s="1"/>
      <c r="D11" s="1"/>
      <c r="E11" s="2"/>
      <c r="F11" s="1"/>
      <c r="G11" s="1"/>
      <c r="H11" s="1"/>
      <c r="I11" s="1"/>
      <c r="J11" s="1"/>
    </row>
    <row r="12" spans="1:10" s="4" customFormat="1" ht="12" customHeight="1" x14ac:dyDescent="0.25">
      <c r="A12" s="1"/>
      <c r="B12" s="1"/>
      <c r="C12" s="1"/>
      <c r="D12" s="1"/>
      <c r="E12" s="2"/>
      <c r="F12" s="1"/>
      <c r="G12" s="1"/>
      <c r="H12" s="1"/>
      <c r="I12" s="1"/>
      <c r="J12" s="1"/>
    </row>
    <row r="13" spans="1:10" s="4" customFormat="1" ht="12" customHeight="1" x14ac:dyDescent="0.25">
      <c r="A13" s="1"/>
      <c r="B13" s="1"/>
      <c r="C13" s="1"/>
      <c r="D13" s="1"/>
      <c r="E13" s="2"/>
      <c r="F13" s="1"/>
      <c r="G13" s="1"/>
      <c r="H13" s="1"/>
      <c r="I13" s="1"/>
      <c r="J13" s="1"/>
    </row>
    <row r="14" spans="1:10" s="9" customFormat="1" ht="15.75" customHeight="1" x14ac:dyDescent="0.25">
      <c r="A14" s="74" t="s">
        <v>1</v>
      </c>
      <c r="B14" s="74"/>
      <c r="C14" s="5" t="s">
        <v>2</v>
      </c>
      <c r="D14" s="6" t="s">
        <v>22</v>
      </c>
      <c r="E14" s="7"/>
      <c r="F14" s="8"/>
      <c r="H14" s="86" t="s">
        <v>3</v>
      </c>
      <c r="J14" s="10"/>
    </row>
    <row r="15" spans="1:10" s="9" customFormat="1" ht="15.75" customHeight="1" x14ac:dyDescent="0.25">
      <c r="A15" s="11"/>
      <c r="B15" s="11"/>
      <c r="C15" s="12"/>
      <c r="D15" s="13"/>
      <c r="E15" s="7"/>
      <c r="F15" s="8"/>
      <c r="H15" s="86" t="s">
        <v>4</v>
      </c>
      <c r="J15" s="67"/>
    </row>
    <row r="16" spans="1:10" s="4" customFormat="1" ht="15.75" customHeight="1" x14ac:dyDescent="0.25">
      <c r="A16" s="12"/>
      <c r="B16" s="12"/>
      <c r="C16" s="12"/>
      <c r="E16" s="14"/>
      <c r="F16" s="2"/>
      <c r="H16" s="86" t="s">
        <v>21</v>
      </c>
      <c r="J16" s="15"/>
    </row>
    <row r="17" spans="1:10" s="16" customFormat="1" ht="15.75" customHeight="1" x14ac:dyDescent="0.25">
      <c r="E17" s="17"/>
      <c r="F17" s="6"/>
      <c r="H17" s="6"/>
      <c r="I17" s="10"/>
    </row>
    <row r="18" spans="1:10" s="4" customFormat="1" ht="15.75" customHeight="1" x14ac:dyDescent="0.25">
      <c r="A18" s="18"/>
      <c r="B18" s="18"/>
      <c r="C18" s="5"/>
      <c r="D18" s="82"/>
      <c r="E18" s="82"/>
      <c r="F18" s="20"/>
      <c r="G18" s="20"/>
    </row>
    <row r="19" spans="1:10" s="4" customFormat="1" ht="15.75" customHeight="1" x14ac:dyDescent="0.25">
      <c r="A19" s="18"/>
      <c r="B19" s="18"/>
      <c r="C19" s="5"/>
      <c r="D19" s="82"/>
      <c r="E19" s="82"/>
      <c r="F19" s="20"/>
      <c r="G19" s="20"/>
    </row>
    <row r="20" spans="1:10" s="4" customFormat="1" ht="15.75" customHeight="1" x14ac:dyDescent="0.25">
      <c r="A20" s="18"/>
      <c r="B20" s="18"/>
      <c r="C20" s="5"/>
      <c r="D20" s="82"/>
      <c r="E20" s="82"/>
      <c r="F20" s="20"/>
      <c r="G20" s="20"/>
    </row>
    <row r="21" spans="1:10" s="4" customFormat="1" ht="15.75" x14ac:dyDescent="0.25">
      <c r="A21" s="19"/>
      <c r="B21" s="19"/>
      <c r="C21" s="21"/>
      <c r="D21" s="22"/>
      <c r="E21" s="19"/>
      <c r="F21" s="20"/>
      <c r="G21" s="20"/>
      <c r="H21" s="20"/>
      <c r="I21" s="20"/>
      <c r="J21" s="20"/>
    </row>
    <row r="22" spans="1:10" s="4" customFormat="1" ht="14.25" x14ac:dyDescent="0.25">
      <c r="A22" s="19"/>
      <c r="B22" s="19"/>
      <c r="C22" s="19"/>
      <c r="D22" s="19"/>
      <c r="E22" s="20"/>
      <c r="F22" s="20"/>
      <c r="G22" s="20"/>
      <c r="H22" s="20"/>
      <c r="I22" s="20"/>
      <c r="J22" s="20"/>
    </row>
    <row r="23" spans="1:10" s="4" customFormat="1" ht="43.5" customHeight="1" x14ac:dyDescent="0.25">
      <c r="A23" s="72" t="s">
        <v>5</v>
      </c>
      <c r="B23" s="75" t="s">
        <v>6</v>
      </c>
      <c r="C23" s="75"/>
      <c r="D23" s="75"/>
      <c r="E23" s="75"/>
      <c r="F23" s="76" t="s">
        <v>7</v>
      </c>
      <c r="G23" s="76"/>
      <c r="H23" s="23" t="s">
        <v>8</v>
      </c>
      <c r="I23" s="23"/>
      <c r="J23" s="23" t="s">
        <v>9</v>
      </c>
    </row>
    <row r="24" spans="1:10" s="4" customFormat="1" ht="9.9499999999999993" customHeight="1" x14ac:dyDescent="0.25">
      <c r="A24" s="24"/>
      <c r="B24" s="24"/>
      <c r="C24" s="24"/>
      <c r="D24" s="20"/>
      <c r="E24" s="19"/>
      <c r="F24" s="19"/>
      <c r="G24" s="19"/>
      <c r="H24" s="19"/>
      <c r="I24" s="19"/>
      <c r="J24" s="19"/>
    </row>
    <row r="25" spans="1:10" s="4" customFormat="1" ht="20.45" customHeight="1" x14ac:dyDescent="0.25">
      <c r="A25" s="87"/>
      <c r="B25" s="57"/>
      <c r="C25" s="58"/>
      <c r="D25" s="58"/>
      <c r="E25" s="59"/>
      <c r="F25" s="60"/>
      <c r="G25" s="65"/>
      <c r="H25" s="65"/>
      <c r="I25" s="65"/>
      <c r="J25" s="65"/>
    </row>
    <row r="26" spans="1:10" s="25" customFormat="1" ht="20.45" customHeight="1" x14ac:dyDescent="0.2">
      <c r="A26" s="88"/>
      <c r="B26" s="61"/>
      <c r="C26" s="62"/>
      <c r="D26" s="62"/>
      <c r="E26" s="63"/>
      <c r="F26" s="89"/>
      <c r="G26" s="90"/>
      <c r="H26" s="91"/>
      <c r="I26" s="91"/>
      <c r="J26" s="91"/>
    </row>
    <row r="27" spans="1:10" s="4" customFormat="1" ht="20.45" customHeight="1" x14ac:dyDescent="0.2">
      <c r="A27" s="87"/>
      <c r="B27" s="64"/>
      <c r="C27" s="58"/>
      <c r="D27" s="58"/>
      <c r="E27" s="59"/>
      <c r="F27" s="66"/>
      <c r="G27" s="65"/>
      <c r="H27" s="92"/>
      <c r="I27" s="65"/>
      <c r="J27" s="92"/>
    </row>
    <row r="28" spans="1:10" s="25" customFormat="1" ht="20.45" customHeight="1" x14ac:dyDescent="0.2">
      <c r="A28" s="88"/>
      <c r="B28" s="61"/>
      <c r="C28" s="62"/>
      <c r="D28" s="62"/>
      <c r="E28" s="63"/>
      <c r="F28" s="89"/>
      <c r="G28" s="90"/>
      <c r="H28" s="91"/>
      <c r="I28" s="91"/>
      <c r="J28" s="91"/>
    </row>
    <row r="29" spans="1:10" s="4" customFormat="1" ht="20.45" customHeight="1" x14ac:dyDescent="0.2">
      <c r="A29" s="87"/>
      <c r="B29" s="64"/>
      <c r="C29" s="58"/>
      <c r="D29" s="58"/>
      <c r="E29" s="59"/>
      <c r="F29" s="66"/>
      <c r="G29" s="65"/>
      <c r="H29" s="92"/>
      <c r="I29" s="65"/>
      <c r="J29" s="92"/>
    </row>
    <row r="30" spans="1:10" s="25" customFormat="1" ht="20.45" customHeight="1" x14ac:dyDescent="0.2">
      <c r="A30" s="88"/>
      <c r="B30" s="61"/>
      <c r="C30" s="62"/>
      <c r="D30" s="62"/>
      <c r="E30" s="63"/>
      <c r="F30" s="89"/>
      <c r="G30" s="90"/>
      <c r="H30" s="91"/>
      <c r="I30" s="91"/>
      <c r="J30" s="91"/>
    </row>
    <row r="31" spans="1:10" s="25" customFormat="1" ht="9" customHeight="1" thickBot="1" x14ac:dyDescent="0.3">
      <c r="A31" s="26"/>
      <c r="B31" s="27"/>
      <c r="C31" s="27"/>
      <c r="D31" s="27"/>
      <c r="E31" s="28"/>
      <c r="F31" s="26"/>
      <c r="G31" s="27"/>
      <c r="H31" s="29"/>
      <c r="I31" s="29"/>
      <c r="J31" s="30"/>
    </row>
    <row r="32" spans="1:10" s="4" customFormat="1" ht="30" customHeight="1" thickTop="1" x14ac:dyDescent="0.25">
      <c r="A32" s="31"/>
      <c r="B32" s="77"/>
      <c r="C32" s="77"/>
      <c r="D32" s="77"/>
      <c r="E32" s="77"/>
      <c r="F32" s="32"/>
      <c r="G32" s="32"/>
      <c r="H32" s="23" t="s">
        <v>10</v>
      </c>
      <c r="I32" s="23"/>
      <c r="J32" s="33">
        <f>SUM(J25:J31)</f>
        <v>0</v>
      </c>
    </row>
    <row r="33" spans="1:234" s="4" customFormat="1" ht="30" customHeight="1" x14ac:dyDescent="0.25">
      <c r="A33" s="31"/>
      <c r="B33" s="77"/>
      <c r="C33" s="77"/>
      <c r="D33" s="77"/>
      <c r="E33" s="77"/>
      <c r="F33" s="32"/>
      <c r="G33" s="32"/>
      <c r="H33" s="23" t="s">
        <v>18</v>
      </c>
      <c r="I33" s="23"/>
      <c r="J33" s="33">
        <f>J32*5%</f>
        <v>0</v>
      </c>
    </row>
    <row r="34" spans="1:234" s="4" customFormat="1" ht="30" customHeight="1" x14ac:dyDescent="0.25">
      <c r="A34" s="31"/>
      <c r="B34" s="71"/>
      <c r="C34" s="71"/>
      <c r="D34" s="71"/>
      <c r="E34" s="71"/>
      <c r="F34" s="32"/>
      <c r="G34" s="32"/>
      <c r="H34" s="23" t="s">
        <v>26</v>
      </c>
      <c r="I34" s="23"/>
      <c r="J34" s="33">
        <v>0</v>
      </c>
    </row>
    <row r="35" spans="1:234" s="4" customFormat="1" ht="30" customHeight="1" x14ac:dyDescent="0.25">
      <c r="A35" s="31"/>
      <c r="B35" s="77"/>
      <c r="C35" s="77"/>
      <c r="D35" s="77"/>
      <c r="E35" s="77"/>
      <c r="F35" s="32"/>
      <c r="G35" s="32"/>
      <c r="H35" s="23" t="s">
        <v>23</v>
      </c>
      <c r="I35" s="23"/>
      <c r="J35" s="33">
        <f>J32-J33-J34</f>
        <v>0</v>
      </c>
    </row>
    <row r="36" spans="1:234" s="4" customFormat="1" ht="30" customHeight="1" x14ac:dyDescent="0.25">
      <c r="A36" s="31"/>
      <c r="B36" s="77"/>
      <c r="C36" s="77"/>
      <c r="D36" s="77"/>
      <c r="E36" s="77"/>
      <c r="F36" s="32"/>
      <c r="G36" s="32"/>
      <c r="H36" s="35" t="s">
        <v>24</v>
      </c>
      <c r="I36" s="35"/>
      <c r="J36" s="34">
        <f>J35*80%</f>
        <v>0</v>
      </c>
      <c r="M36" s="68">
        <f>11/12*J36</f>
        <v>0</v>
      </c>
    </row>
    <row r="37" spans="1:234" s="4" customFormat="1" ht="30" customHeight="1" x14ac:dyDescent="0.25">
      <c r="A37" s="31"/>
      <c r="B37" s="77"/>
      <c r="C37" s="77"/>
      <c r="D37" s="77"/>
      <c r="E37" s="77"/>
      <c r="F37" s="32"/>
      <c r="G37" s="32"/>
      <c r="H37" s="35" t="s">
        <v>25</v>
      </c>
      <c r="I37" s="35"/>
      <c r="J37" s="34">
        <f>J36*11%</f>
        <v>0</v>
      </c>
    </row>
    <row r="38" spans="1:234" s="4" customFormat="1" ht="30" customHeight="1" x14ac:dyDescent="0.25">
      <c r="A38" s="31"/>
      <c r="B38" s="77"/>
      <c r="C38" s="77"/>
      <c r="D38" s="77"/>
      <c r="E38" s="77"/>
      <c r="F38" s="32"/>
      <c r="G38" s="32"/>
      <c r="H38" s="35" t="s">
        <v>19</v>
      </c>
      <c r="I38" s="35"/>
      <c r="J38" s="34">
        <f>J36*2%</f>
        <v>0</v>
      </c>
      <c r="M38" s="4">
        <v>4653385</v>
      </c>
    </row>
    <row r="39" spans="1:234" s="38" customFormat="1" ht="9.9499999999999993" customHeight="1" x14ac:dyDescent="0.2">
      <c r="A39" s="83"/>
      <c r="B39" s="83"/>
      <c r="C39" s="83"/>
      <c r="D39" s="83"/>
      <c r="E39" s="83"/>
      <c r="F39" s="83"/>
      <c r="G39" s="83"/>
      <c r="H39" s="36"/>
      <c r="I39" s="36"/>
      <c r="J39" s="37"/>
    </row>
    <row r="40" spans="1:234" s="38" customFormat="1" ht="24.95" hidden="1" customHeight="1" x14ac:dyDescent="0.25">
      <c r="A40" s="21"/>
      <c r="B40" s="39"/>
      <c r="C40" s="39"/>
      <c r="D40" s="39"/>
      <c r="E40" s="39"/>
      <c r="F40" s="19"/>
      <c r="G40" s="19"/>
      <c r="H40" s="35" t="s">
        <v>11</v>
      </c>
      <c r="I40" s="35"/>
      <c r="J40" s="40"/>
    </row>
    <row r="41" spans="1:234" s="38" customFormat="1" ht="9.75" hidden="1" customHeight="1" x14ac:dyDescent="0.25">
      <c r="A41" s="21"/>
      <c r="B41" s="39"/>
      <c r="C41" s="39"/>
      <c r="D41" s="39"/>
      <c r="E41" s="39"/>
      <c r="F41" s="19"/>
      <c r="G41" s="19"/>
      <c r="H41" s="41"/>
      <c r="I41" s="41"/>
      <c r="J41" s="37"/>
    </row>
    <row r="42" spans="1:234" s="4" customFormat="1" ht="30" customHeight="1" x14ac:dyDescent="0.25">
      <c r="A42" s="84" t="s">
        <v>28</v>
      </c>
      <c r="B42" s="84"/>
      <c r="C42" s="84"/>
      <c r="D42" s="84"/>
      <c r="E42" s="84"/>
      <c r="F42" s="84"/>
      <c r="G42" s="84"/>
      <c r="H42" s="23" t="s">
        <v>12</v>
      </c>
      <c r="I42" s="23"/>
      <c r="J42" s="42">
        <f>J36+J37-J38</f>
        <v>0</v>
      </c>
    </row>
    <row r="43" spans="1:234" s="4" customFormat="1" ht="10.15" customHeight="1" x14ac:dyDescent="0.25">
      <c r="A43" s="43"/>
      <c r="B43" s="19"/>
      <c r="C43" s="44"/>
      <c r="D43" s="43"/>
      <c r="E43" s="19"/>
      <c r="F43" s="19"/>
      <c r="G43" s="19"/>
      <c r="H43" s="45"/>
      <c r="I43" s="45"/>
      <c r="J43" s="45"/>
    </row>
    <row r="44" spans="1:234" s="4" customFormat="1" ht="12" customHeight="1" x14ac:dyDescent="0.25">
      <c r="A44" s="43"/>
      <c r="B44" s="19"/>
      <c r="C44" s="47"/>
      <c r="D44" s="43"/>
      <c r="E44" s="19"/>
      <c r="F44" s="19"/>
      <c r="G44" s="19"/>
      <c r="H44" s="45"/>
      <c r="I44" s="45"/>
      <c r="J44" s="45"/>
    </row>
    <row r="45" spans="1:234" s="4" customFormat="1" ht="15" customHeight="1" x14ac:dyDescent="0.25">
      <c r="A45" s="79"/>
      <c r="B45" s="79"/>
      <c r="C45" s="79"/>
      <c r="D45" s="79"/>
      <c r="E45" s="45"/>
      <c r="F45" s="45"/>
      <c r="G45" s="45"/>
      <c r="H45" s="45"/>
      <c r="I45" s="45"/>
      <c r="J45" s="69" t="s">
        <v>27</v>
      </c>
    </row>
    <row r="46" spans="1:234" s="4" customFormat="1" ht="15" customHeight="1" x14ac:dyDescent="0.25">
      <c r="A46" s="80"/>
      <c r="B46" s="80"/>
      <c r="C46" s="80"/>
      <c r="D46" s="80"/>
      <c r="E46" s="45"/>
      <c r="F46" s="45"/>
      <c r="G46" s="45"/>
      <c r="H46" s="45"/>
      <c r="I46" s="45"/>
      <c r="J46" s="46"/>
    </row>
    <row r="47" spans="1:234" s="4" customFormat="1" ht="15.75" customHeight="1" x14ac:dyDescent="0.25">
      <c r="A47" s="81"/>
      <c r="B47" s="78"/>
      <c r="C47" s="78"/>
      <c r="D47" s="78"/>
      <c r="E47" s="45"/>
      <c r="F47" s="45"/>
      <c r="G47" s="45"/>
      <c r="H47" s="45"/>
      <c r="I47" s="45"/>
      <c r="J47" s="49"/>
    </row>
    <row r="48" spans="1:234" s="3" customFormat="1" ht="15.75" x14ac:dyDescent="0.25">
      <c r="A48" s="78"/>
      <c r="B48" s="78"/>
      <c r="C48" s="78"/>
      <c r="D48" s="78"/>
      <c r="E48" s="50"/>
      <c r="F48" s="50"/>
      <c r="G48" s="50"/>
      <c r="H48" s="70"/>
      <c r="I48" s="70"/>
      <c r="J48" s="5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</row>
    <row r="49" spans="1:234" s="3" customFormat="1" x14ac:dyDescent="0.25">
      <c r="A49" s="24"/>
      <c r="B49" s="45"/>
      <c r="C49" s="45"/>
      <c r="D49" s="46"/>
      <c r="E49" s="24"/>
      <c r="F49" s="24"/>
      <c r="G49" s="24"/>
      <c r="H49" s="70"/>
      <c r="I49" s="70"/>
      <c r="J49" s="4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</row>
    <row r="50" spans="1:234" s="3" customFormat="1" x14ac:dyDescent="0.25">
      <c r="A50" s="79" t="s">
        <v>14</v>
      </c>
      <c r="B50" s="79"/>
      <c r="C50" s="79"/>
      <c r="D50" s="79"/>
      <c r="E50" s="24"/>
      <c r="F50" s="24"/>
      <c r="G50" s="24"/>
      <c r="H50" s="52"/>
      <c r="I50" s="52"/>
      <c r="J50" s="49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</row>
    <row r="51" spans="1:234" s="3" customFormat="1" x14ac:dyDescent="0.25">
      <c r="A51" s="85" t="s">
        <v>20</v>
      </c>
      <c r="B51" s="80"/>
      <c r="C51" s="80"/>
      <c r="D51" s="80"/>
      <c r="E51" s="24"/>
      <c r="F51" s="24"/>
      <c r="G51" s="24"/>
      <c r="H51" s="52"/>
      <c r="I51" s="52"/>
      <c r="J51" s="4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</row>
    <row r="52" spans="1:234" s="3" customFormat="1" x14ac:dyDescent="0.25">
      <c r="A52" s="81" t="s">
        <v>15</v>
      </c>
      <c r="B52" s="78"/>
      <c r="C52" s="78"/>
      <c r="D52" s="78" t="s">
        <v>16</v>
      </c>
      <c r="E52" s="24"/>
      <c r="F52" s="24"/>
      <c r="G52" s="24"/>
      <c r="H52" s="52"/>
      <c r="I52" s="52"/>
      <c r="J52" s="49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</row>
    <row r="53" spans="1:234" s="3" customFormat="1" x14ac:dyDescent="0.25">
      <c r="A53" s="24"/>
      <c r="B53" s="24"/>
      <c r="C53" s="24"/>
      <c r="D53" s="52"/>
      <c r="E53" s="24"/>
      <c r="F53" s="24"/>
      <c r="G53" s="24"/>
      <c r="H53" s="52"/>
      <c r="I53" s="52"/>
      <c r="J53" s="4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</row>
    <row r="54" spans="1:234" s="3" customFormat="1" ht="15.75" x14ac:dyDescent="0.25">
      <c r="A54" s="24"/>
      <c r="B54" s="53"/>
      <c r="C54" s="53"/>
      <c r="D54" s="53"/>
      <c r="E54" s="19"/>
      <c r="F54" s="19"/>
      <c r="G54" s="19"/>
      <c r="I54" s="48" t="s">
        <v>13</v>
      </c>
      <c r="J54" s="48" t="s">
        <v>13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</row>
    <row r="55" spans="1:234" s="3" customFormat="1" ht="15.75" x14ac:dyDescent="0.25">
      <c r="A55" s="24"/>
      <c r="B55" s="55"/>
      <c r="C55" s="55"/>
      <c r="D55" s="55"/>
      <c r="E55" s="55"/>
      <c r="F55" s="55"/>
      <c r="G55" s="55"/>
      <c r="I55" s="48"/>
      <c r="J55" s="48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</row>
    <row r="56" spans="1:234" s="3" customFormat="1" x14ac:dyDescent="0.25">
      <c r="A56" s="38"/>
      <c r="B56" s="4"/>
      <c r="C56" s="4"/>
      <c r="D56" s="4"/>
      <c r="E56" s="38"/>
      <c r="F56" s="38"/>
      <c r="G56" s="38"/>
      <c r="I56" s="5"/>
      <c r="J56" s="5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</row>
    <row r="57" spans="1:234" s="3" customFormat="1" x14ac:dyDescent="0.25">
      <c r="A57" s="38"/>
      <c r="B57" s="38"/>
      <c r="C57" s="38"/>
      <c r="D57" s="38"/>
      <c r="E57" s="38"/>
      <c r="F57" s="38"/>
      <c r="G57" s="38"/>
      <c r="I57" s="5"/>
      <c r="J57" s="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</row>
    <row r="58" spans="1:234" s="3" customFormat="1" x14ac:dyDescent="0.25">
      <c r="A58" s="38"/>
      <c r="B58" s="38"/>
      <c r="C58" s="38"/>
      <c r="D58" s="38"/>
      <c r="E58" s="38"/>
      <c r="F58" s="38"/>
      <c r="G58" s="38"/>
      <c r="I58" s="5"/>
      <c r="J58" s="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</row>
    <row r="59" spans="1:234" s="3" customFormat="1" x14ac:dyDescent="0.25">
      <c r="A59" s="38"/>
      <c r="B59" s="38"/>
      <c r="C59" s="38"/>
      <c r="D59" s="38"/>
      <c r="E59" s="38"/>
      <c r="F59" s="38"/>
      <c r="G59" s="38"/>
      <c r="I59" s="5"/>
      <c r="J59" s="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</row>
    <row r="60" spans="1:234" s="3" customFormat="1" x14ac:dyDescent="0.25">
      <c r="A60" s="38"/>
      <c r="B60" s="38"/>
      <c r="C60" s="38"/>
      <c r="D60" s="38"/>
      <c r="E60" s="38"/>
      <c r="F60" s="38"/>
      <c r="G60" s="38"/>
      <c r="I60" s="5"/>
      <c r="J60" s="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</row>
    <row r="61" spans="1:234" x14ac:dyDescent="0.25">
      <c r="I61" s="5"/>
      <c r="J61" s="5"/>
    </row>
    <row r="62" spans="1:234" x14ac:dyDescent="0.25">
      <c r="I62" s="5"/>
      <c r="J62" s="5"/>
    </row>
    <row r="63" spans="1:234" ht="15.75" x14ac:dyDescent="0.25">
      <c r="I63" s="54" t="s">
        <v>17</v>
      </c>
      <c r="J63" s="54" t="s">
        <v>17</v>
      </c>
    </row>
  </sheetData>
  <mergeCells count="20">
    <mergeCell ref="A51:D51"/>
    <mergeCell ref="A52:D52"/>
    <mergeCell ref="A42:G42"/>
    <mergeCell ref="A45:D45"/>
    <mergeCell ref="A46:D46"/>
    <mergeCell ref="A47:D47"/>
    <mergeCell ref="A48:D48"/>
    <mergeCell ref="A50:D50"/>
    <mergeCell ref="A39:G39"/>
    <mergeCell ref="H9:J10"/>
    <mergeCell ref="A14:B14"/>
    <mergeCell ref="D18:E20"/>
    <mergeCell ref="B23:E23"/>
    <mergeCell ref="F23:G23"/>
    <mergeCell ref="B32:E32"/>
    <mergeCell ref="B33:E33"/>
    <mergeCell ref="B35:E35"/>
    <mergeCell ref="B36:E36"/>
    <mergeCell ref="B37:E37"/>
    <mergeCell ref="B38:E38"/>
  </mergeCells>
  <printOptions horizontalCentered="1"/>
  <pageMargins left="0.15748031496062992" right="0.11811023622047245" top="0.27559055118110237" bottom="0.55118110236220474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arifin</dc:creator>
  <cp:lastModifiedBy>WINDOWS 10</cp:lastModifiedBy>
  <cp:lastPrinted>2026-04-27T07:31:08Z</cp:lastPrinted>
  <dcterms:created xsi:type="dcterms:W3CDTF">2026-01-14T13:54:35Z</dcterms:created>
  <dcterms:modified xsi:type="dcterms:W3CDTF">2026-05-11T06:27:28Z</dcterms:modified>
</cp:coreProperties>
</file>